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623" codeName="{499AFE36-ED4D-9D94-70EF-1DFAAA4259C6}"/>
  <workbookPr filterPrivacy="1" codeName="ThisWorkbook"/>
  <xr:revisionPtr revIDLastSave="0" documentId="13_ncr:1_{0E698762-2294-4034-A225-B95B596E2236}" xr6:coauthVersionLast="47" xr6:coauthVersionMax="47" xr10:uidLastSave="{00000000-0000-0000-0000-000000000000}"/>
  <bookViews>
    <workbookView xWindow="-108" yWindow="-108" windowWidth="23256" windowHeight="12456" firstSheet="2" activeTab="4" xr2:uid="{00000000-000D-0000-FFFF-FFFF00000000}"/>
  </bookViews>
  <sheets>
    <sheet name="Form Configuration" sheetId="1" r:id="rId1"/>
    <sheet name="Contract" sheetId="3" r:id="rId2"/>
    <sheet name="Shipping Instruction" sheetId="4" r:id="rId3"/>
    <sheet name="Bank &amp; LC" sheetId="10" r:id="rId4"/>
    <sheet name="Contract-SI-LC" sheetId="2" r:id="rId5"/>
    <sheet name="Bookings" sheetId="22" r:id="rId6"/>
    <sheet name="Staffing" sheetId="8" r:id="rId7"/>
    <sheet name="Processing" sheetId="21" r:id="rId8"/>
    <sheet name="Coffee Test Letter" sheetId="11" r:id="rId9"/>
    <sheet name="Commercial Invoice(Permit)" sheetId="23" r:id="rId10"/>
    <sheet name="Commercial Invoice" sheetId="25" r:id="rId11"/>
    <sheet name="Commercial Invoice(ICC)" sheetId="27" r:id="rId12"/>
    <sheet name="Packing List(Permit)" sheetId="7" r:id="rId13"/>
    <sheet name="Packing List" sheetId="26" r:id="rId14"/>
    <sheet name="Packing List(ICC)" sheetId="28" r:id="rId15"/>
    <sheet name="SI" sheetId="6" r:id="rId16"/>
    <sheet name="Certificate of Quality" sheetId="12" r:id="rId17"/>
    <sheet name="Certificate of Weight" sheetId="13" r:id="rId18"/>
    <sheet name="WAY BILL" sheetId="14" r:id="rId19"/>
    <sheet name="COCG" sheetId="24" r:id="rId20"/>
    <sheet name="VGM" sheetId="17" r:id="rId21"/>
    <sheet name="ICO" sheetId="18" r:id="rId22"/>
    <sheet name="Cert Of Origin" sheetId="19" r:id="rId23"/>
    <sheet name="NON-GMO" sheetId="20" r:id="rId24"/>
  </sheets>
  <functionGroups builtInGroupCount="19"/>
  <externalReferences>
    <externalReference r:id="rId25"/>
  </externalReferences>
  <definedNames>
    <definedName name="_21_08_2006" localSheetId="22">'[1]Packing list '!$L$16 current date</definedName>
    <definedName name="_21_08_2006" localSheetId="10">'[1]Packing list '!$L$16 current date</definedName>
    <definedName name="_21_08_2006" localSheetId="11">'[1]Packing list '!$L$16 current date</definedName>
    <definedName name="_21_08_2006" localSheetId="14">'[1]Packing list '!$L$16 current date</definedName>
    <definedName name="_21_08_2006">'[1]Packing list '!$L$16 current date</definedName>
    <definedName name="_xlnm.Print_Area" localSheetId="16">'Certificate of Quality'!$B$1:$H$39</definedName>
    <definedName name="_xlnm.Print_Area" localSheetId="17">'Certificate of Weight'!$B$1:$J$38</definedName>
    <definedName name="_xlnm.Print_Area" localSheetId="19">COCG!$A$4:$J$113</definedName>
    <definedName name="_xlnm.Print_Area" localSheetId="8">'Coffee Test Letter'!$B$2:$I$27</definedName>
    <definedName name="_xlnm.Print_Area" localSheetId="10">'Commercial Invoice'!$B$1:$N$40</definedName>
    <definedName name="_xlnm.Print_Area" localSheetId="11">'Commercial Invoice(ICC)'!$B$3:$R$54</definedName>
    <definedName name="_xlnm.Print_Area" localSheetId="9">'Commercial Invoice(Permit)'!$B$1:$M$39</definedName>
    <definedName name="_xlnm.Print_Area" localSheetId="23">'NON-GMO'!$A$1:$H$41</definedName>
    <definedName name="_xlnm.Print_Area" localSheetId="14">'Packing List(ICC)'!$B$1:$S$60</definedName>
    <definedName name="_xlnm.Print_Area" localSheetId="12">'Packing List(Permit)'!$D$1:$L$33</definedName>
    <definedName name="_xlnm.Print_Area" localSheetId="15">SI!$D$1:$P$45</definedName>
    <definedName name="_xlnm.Print_Area" localSheetId="6">Staffing!$A$1:$Q$38</definedName>
    <definedName name="_xlnm.Print_Area" localSheetId="20">VGM!$B$1:$K$39</definedName>
    <definedName name="_xlnm.Print_Area" localSheetId="18">'WAY BILL'!$A$1:$O$49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7" i="6" l="1"/>
  <c r="K39" i="28" l="1"/>
  <c r="O9" i="28" l="1"/>
  <c r="O8" i="28"/>
  <c r="H20" i="27"/>
  <c r="N12" i="27" l="1"/>
  <c r="I12" i="2"/>
  <c r="I20" i="2"/>
  <c r="I24" i="2"/>
  <c r="I25" i="2"/>
  <c r="I31" i="2"/>
  <c r="I30" i="2"/>
  <c r="I29" i="2"/>
  <c r="I28" i="2"/>
  <c r="O36" i="27" l="1"/>
  <c r="O37" i="27"/>
  <c r="O38" i="27"/>
  <c r="O35" i="27"/>
  <c r="E49" i="28" l="1"/>
  <c r="E48" i="28"/>
  <c r="B18" i="26"/>
  <c r="C44" i="28"/>
  <c r="O15" i="28"/>
  <c r="Q14" i="28"/>
  <c r="M14" i="28"/>
  <c r="I13" i="28"/>
  <c r="I11" i="28"/>
  <c r="H16" i="27"/>
  <c r="H14" i="27"/>
  <c r="B50" i="27" l="1"/>
  <c r="D40" i="27"/>
  <c r="D38" i="27"/>
  <c r="D37" i="27"/>
  <c r="H36" i="27"/>
  <c r="D36" i="27"/>
  <c r="D35" i="27"/>
  <c r="O28" i="27"/>
  <c r="E28" i="27"/>
  <c r="B14" i="27"/>
  <c r="N11" i="27"/>
  <c r="D21" i="28" l="1"/>
  <c r="C11" i="28"/>
  <c r="H32" i="2" l="1"/>
  <c r="H30" i="2"/>
  <c r="H29" i="2"/>
  <c r="G32" i="2"/>
  <c r="G30" i="2"/>
  <c r="G29" i="2"/>
  <c r="J32" i="2"/>
  <c r="I32" i="2"/>
  <c r="J31" i="2"/>
  <c r="J30" i="2"/>
  <c r="J29" i="2"/>
  <c r="K19" i="2"/>
  <c r="K26" i="2"/>
  <c r="K30" i="2" l="1"/>
  <c r="K32" i="2"/>
  <c r="B10" i="11"/>
  <c r="D27" i="20"/>
  <c r="C14" i="28" l="1"/>
  <c r="B19" i="27"/>
  <c r="C11" i="12"/>
  <c r="G20" i="22"/>
  <c r="C9" i="18"/>
  <c r="D13" i="17"/>
  <c r="D14" i="17"/>
  <c r="B12" i="19"/>
  <c r="E13" i="6"/>
  <c r="K31" i="2"/>
  <c r="K29" i="2"/>
  <c r="C17" i="28" s="1"/>
  <c r="B23" i="27" l="1"/>
  <c r="I19" i="19"/>
  <c r="C15" i="12"/>
  <c r="C11" i="13"/>
  <c r="C17" i="20"/>
  <c r="B2" i="18"/>
  <c r="B35" i="26"/>
  <c r="B34" i="26"/>
  <c r="D35" i="20"/>
  <c r="D23" i="20"/>
  <c r="D28" i="20"/>
  <c r="C15" i="13"/>
  <c r="C21" i="11"/>
  <c r="C20" i="11"/>
  <c r="C19" i="11"/>
  <c r="C18" i="11"/>
  <c r="C17" i="11"/>
  <c r="E30" i="17" l="1"/>
  <c r="E29" i="17"/>
  <c r="E28" i="17"/>
  <c r="B3" i="19"/>
  <c r="K41" i="14"/>
  <c r="C35" i="17"/>
  <c r="C12" i="14"/>
  <c r="C11" i="14"/>
  <c r="C39" i="12" l="1"/>
  <c r="B21" i="14"/>
  <c r="L7" i="8"/>
  <c r="L8" i="8"/>
  <c r="L9" i="8"/>
  <c r="L10" i="8"/>
  <c r="L11" i="8"/>
  <c r="L12" i="8"/>
  <c r="L13" i="8"/>
  <c r="L14" i="8"/>
  <c r="L15" i="8"/>
  <c r="L6" i="8"/>
  <c r="C19" i="20"/>
  <c r="C16" i="13" l="1"/>
  <c r="C12" i="12"/>
  <c r="C15" i="20" l="1"/>
  <c r="A12" i="19"/>
  <c r="I23" i="8"/>
  <c r="D13" i="11" s="1"/>
  <c r="E13" i="11" s="1"/>
  <c r="I24" i="8"/>
  <c r="I25" i="8"/>
  <c r="I26" i="8"/>
  <c r="I27" i="8"/>
  <c r="I28" i="8"/>
  <c r="I29" i="8"/>
  <c r="I30" i="8"/>
  <c r="I31" i="8"/>
  <c r="I22" i="8"/>
  <c r="H23" i="8"/>
  <c r="D18" i="17" s="1"/>
  <c r="H24" i="8"/>
  <c r="H25" i="8"/>
  <c r="H26" i="8"/>
  <c r="H27" i="8"/>
  <c r="H28" i="8"/>
  <c r="H29" i="8"/>
  <c r="H30" i="8"/>
  <c r="H31" i="8"/>
  <c r="H22" i="8"/>
  <c r="D6" i="8"/>
  <c r="E6" i="8"/>
  <c r="F6" i="8"/>
  <c r="G6" i="8"/>
  <c r="E7" i="8"/>
  <c r="G7" i="8"/>
  <c r="D8" i="8"/>
  <c r="E8" i="8"/>
  <c r="F8" i="8"/>
  <c r="G8" i="8"/>
  <c r="E9" i="8"/>
  <c r="F9" i="8"/>
  <c r="G9" i="8"/>
  <c r="D10" i="8"/>
  <c r="E10" i="8"/>
  <c r="F10" i="8"/>
  <c r="G10" i="8"/>
  <c r="E11" i="8"/>
  <c r="G11" i="8"/>
  <c r="D12" i="8"/>
  <c r="E12" i="8"/>
  <c r="F12" i="8"/>
  <c r="G12" i="8"/>
  <c r="E13" i="8"/>
  <c r="F13" i="8"/>
  <c r="G13" i="8"/>
  <c r="D14" i="8"/>
  <c r="E14" i="8"/>
  <c r="F14" i="8"/>
  <c r="G14" i="8"/>
  <c r="E15" i="8"/>
  <c r="G15" i="8"/>
  <c r="C7" i="8"/>
  <c r="C8" i="8"/>
  <c r="C9" i="8"/>
  <c r="C10" i="8"/>
  <c r="C11" i="8"/>
  <c r="C12" i="8"/>
  <c r="C13" i="8"/>
  <c r="C14" i="8"/>
  <c r="C15" i="8"/>
  <c r="C6" i="8"/>
  <c r="G26" i="22"/>
  <c r="F15" i="8" s="1"/>
  <c r="G24" i="22"/>
  <c r="G22" i="22"/>
  <c r="F11" i="8" s="1"/>
  <c r="G18" i="22"/>
  <c r="F7" i="8" s="1"/>
  <c r="E31" i="6"/>
  <c r="E19" i="6"/>
  <c r="J17" i="26"/>
  <c r="G17" i="26"/>
  <c r="B17" i="26"/>
  <c r="B16" i="26"/>
  <c r="B15" i="26"/>
  <c r="I15" i="26"/>
  <c r="E12" i="26"/>
  <c r="B9" i="26"/>
  <c r="E18" i="7"/>
  <c r="E17" i="7"/>
  <c r="E14" i="7"/>
  <c r="G12" i="7"/>
  <c r="E10" i="7"/>
  <c r="C17" i="25"/>
  <c r="H17" i="25"/>
  <c r="C28" i="25"/>
  <c r="C27" i="25"/>
  <c r="C26" i="25"/>
  <c r="C25" i="25"/>
  <c r="C24" i="25"/>
  <c r="J21" i="25"/>
  <c r="C18" i="25"/>
  <c r="C14" i="25"/>
  <c r="K12" i="25"/>
  <c r="E12" i="25"/>
  <c r="C10" i="25"/>
  <c r="K23" i="8"/>
  <c r="L23" i="8"/>
  <c r="M23" i="8"/>
  <c r="N23" i="8"/>
  <c r="K24" i="8"/>
  <c r="L24" i="8"/>
  <c r="M24" i="8"/>
  <c r="N24" i="8"/>
  <c r="K25" i="8"/>
  <c r="L25" i="8"/>
  <c r="M25" i="8"/>
  <c r="N25" i="8"/>
  <c r="K26" i="8"/>
  <c r="L26" i="8"/>
  <c r="M26" i="8"/>
  <c r="N26" i="8"/>
  <c r="K27" i="8"/>
  <c r="L27" i="8"/>
  <c r="M27" i="8"/>
  <c r="N27" i="8"/>
  <c r="K28" i="8"/>
  <c r="L28" i="8"/>
  <c r="M28" i="8"/>
  <c r="N28" i="8"/>
  <c r="K29" i="8"/>
  <c r="L29" i="8"/>
  <c r="M29" i="8"/>
  <c r="N29" i="8"/>
  <c r="K30" i="8"/>
  <c r="L30" i="8"/>
  <c r="M30" i="8"/>
  <c r="N30" i="8"/>
  <c r="K31" i="8"/>
  <c r="L31" i="8"/>
  <c r="M31" i="8"/>
  <c r="N31" i="8"/>
  <c r="L22" i="8"/>
  <c r="M22" i="8"/>
  <c r="N22" i="8"/>
  <c r="K22" i="8"/>
  <c r="D20" i="11" l="1"/>
  <c r="N44" i="6"/>
  <c r="D21" i="11"/>
  <c r="N45" i="6"/>
  <c r="E32" i="28"/>
  <c r="K45" i="6"/>
  <c r="D31" i="26"/>
  <c r="D34" i="13"/>
  <c r="C37" i="12"/>
  <c r="D26" i="17"/>
  <c r="E31" i="28"/>
  <c r="K44" i="6"/>
  <c r="D33" i="13"/>
  <c r="D30" i="26"/>
  <c r="C36" i="12"/>
  <c r="D25" i="17"/>
  <c r="N43" i="6"/>
  <c r="D19" i="11"/>
  <c r="D16" i="11"/>
  <c r="E16" i="11" s="1"/>
  <c r="C16" i="11" s="1"/>
  <c r="N40" i="6"/>
  <c r="D15" i="11"/>
  <c r="E15" i="11" s="1"/>
  <c r="N39" i="6"/>
  <c r="N42" i="6"/>
  <c r="D18" i="11"/>
  <c r="N38" i="6"/>
  <c r="D14" i="11"/>
  <c r="E14" i="11" s="1"/>
  <c r="D17" i="11"/>
  <c r="N41" i="6"/>
  <c r="E29" i="28"/>
  <c r="K42" i="6"/>
  <c r="C34" i="12"/>
  <c r="D28" i="26"/>
  <c r="D31" i="13"/>
  <c r="D23" i="17"/>
  <c r="E28" i="28"/>
  <c r="K41" i="6"/>
  <c r="C33" i="12"/>
  <c r="D27" i="26"/>
  <c r="D30" i="13"/>
  <c r="D22" i="17"/>
  <c r="E25" i="28"/>
  <c r="K38" i="6"/>
  <c r="D24" i="26"/>
  <c r="D27" i="13"/>
  <c r="C30" i="12"/>
  <c r="E27" i="28"/>
  <c r="K40" i="6"/>
  <c r="C32" i="12"/>
  <c r="D26" i="26"/>
  <c r="D29" i="13"/>
  <c r="D21" i="17"/>
  <c r="E24" i="28"/>
  <c r="D26" i="13"/>
  <c r="D23" i="26"/>
  <c r="K37" i="6"/>
  <c r="C29" i="12"/>
  <c r="E30" i="28"/>
  <c r="K43" i="6"/>
  <c r="D32" i="13"/>
  <c r="C35" i="12"/>
  <c r="D29" i="26"/>
  <c r="D24" i="17"/>
  <c r="E26" i="28"/>
  <c r="K39" i="6"/>
  <c r="D19" i="17"/>
  <c r="N37" i="6"/>
  <c r="D12" i="11"/>
  <c r="N36" i="6"/>
  <c r="C67" i="24"/>
  <c r="E23" i="28"/>
  <c r="D22" i="26"/>
  <c r="K36" i="6"/>
  <c r="D25" i="13"/>
  <c r="D28" i="13"/>
  <c r="C31" i="12"/>
  <c r="D25" i="26"/>
  <c r="D20" i="17"/>
  <c r="D17" i="17"/>
  <c r="C28" i="12"/>
  <c r="C26" i="23"/>
  <c r="C25" i="23"/>
  <c r="C27" i="23"/>
  <c r="C24" i="23"/>
  <c r="C23" i="23"/>
  <c r="B21" i="11" l="1"/>
  <c r="F21" i="11"/>
  <c r="G21" i="11"/>
  <c r="B20" i="11"/>
  <c r="G20" i="11"/>
  <c r="F20" i="11"/>
  <c r="B15" i="11"/>
  <c r="G15" i="11"/>
  <c r="F15" i="11"/>
  <c r="B17" i="11"/>
  <c r="F17" i="11"/>
  <c r="G17" i="11"/>
  <c r="B18" i="11"/>
  <c r="F18" i="11"/>
  <c r="G18" i="11"/>
  <c r="B16" i="11"/>
  <c r="F16" i="11"/>
  <c r="G16" i="11"/>
  <c r="B14" i="11"/>
  <c r="G14" i="11"/>
  <c r="F14" i="11"/>
  <c r="B19" i="11"/>
  <c r="G19" i="11"/>
  <c r="F19" i="11"/>
  <c r="B13" i="11"/>
  <c r="G13" i="11"/>
  <c r="F13" i="11"/>
  <c r="B12" i="11"/>
  <c r="F12" i="11"/>
  <c r="G12" i="11"/>
  <c r="J20" i="23"/>
  <c r="C17" i="23"/>
  <c r="C16" i="23"/>
  <c r="C13" i="23"/>
  <c r="K11" i="23"/>
  <c r="E11" i="23"/>
  <c r="C10" i="23"/>
  <c r="G15" i="2"/>
  <c r="K15" i="2" s="1"/>
  <c r="G11" i="2"/>
  <c r="K11" i="2" s="1"/>
  <c r="G28" i="2"/>
  <c r="K28" i="2" s="1"/>
  <c r="G27" i="2"/>
  <c r="K27" i="2" s="1"/>
  <c r="G25" i="2"/>
  <c r="K25" i="2" s="1"/>
  <c r="G24" i="2"/>
  <c r="K24" i="2" s="1"/>
  <c r="G23" i="2"/>
  <c r="K23" i="2" s="1"/>
  <c r="G22" i="2"/>
  <c r="K22" i="2" s="1"/>
  <c r="G21" i="2"/>
  <c r="K21" i="2" s="1"/>
  <c r="G20" i="2"/>
  <c r="K20" i="2" s="1"/>
  <c r="F17" i="2"/>
  <c r="K17" i="2" s="1"/>
  <c r="F16" i="2"/>
  <c r="K16" i="2" s="1"/>
  <c r="F15" i="2"/>
  <c r="F14" i="2"/>
  <c r="K14" i="2" s="1"/>
  <c r="F13" i="2"/>
  <c r="K13" i="2" s="1"/>
  <c r="F11" i="2"/>
  <c r="F10" i="2"/>
  <c r="K10" i="2" s="1"/>
  <c r="F9" i="2"/>
  <c r="K9" i="2" s="1"/>
  <c r="F8" i="2"/>
  <c r="K8" i="2" s="1"/>
  <c r="G7" i="2"/>
  <c r="K7" i="2" s="1"/>
  <c r="F7" i="2"/>
  <c r="E38" i="28" l="1"/>
  <c r="D44" i="27"/>
  <c r="C42" i="28"/>
  <c r="B48" i="27"/>
  <c r="E51" i="28"/>
  <c r="B52" i="27"/>
  <c r="E35" i="28"/>
  <c r="D41" i="27"/>
  <c r="E37" i="28"/>
  <c r="E36" i="28"/>
  <c r="D43" i="27"/>
  <c r="D42" i="27"/>
  <c r="N28" i="27"/>
  <c r="C20" i="28"/>
  <c r="C28" i="27"/>
  <c r="C15" i="23"/>
  <c r="B7" i="18"/>
  <c r="D29" i="20"/>
  <c r="C21" i="13"/>
  <c r="C25" i="12"/>
  <c r="H16" i="25"/>
  <c r="C16" i="25"/>
  <c r="I14" i="26"/>
  <c r="E16" i="7"/>
  <c r="E30" i="6"/>
  <c r="B14" i="26"/>
  <c r="I16" i="7"/>
  <c r="H15" i="23"/>
  <c r="C68" i="24"/>
  <c r="D26" i="20"/>
  <c r="B6" i="19"/>
  <c r="C19" i="14"/>
  <c r="I13" i="26"/>
  <c r="C20" i="13"/>
  <c r="C24" i="12"/>
  <c r="E29" i="6"/>
  <c r="I15" i="7"/>
  <c r="H15" i="25"/>
  <c r="E23" i="7"/>
  <c r="C30" i="25"/>
  <c r="C29" i="23"/>
  <c r="H14" i="23"/>
  <c r="C11" i="25"/>
  <c r="B10" i="26"/>
  <c r="B4" i="19"/>
  <c r="B11" i="26"/>
  <c r="E11" i="6"/>
  <c r="B19" i="26"/>
  <c r="C9" i="23"/>
  <c r="B19" i="23" l="1"/>
  <c r="C12" i="13"/>
  <c r="C16" i="12"/>
  <c r="B9" i="12"/>
  <c r="B20" i="25"/>
  <c r="C18" i="20"/>
  <c r="D20" i="7"/>
  <c r="G20" i="23"/>
  <c r="G21" i="25"/>
  <c r="K21" i="7"/>
  <c r="B5" i="18"/>
  <c r="C14" i="12"/>
  <c r="C10" i="13"/>
  <c r="E11" i="7"/>
  <c r="C16" i="20"/>
  <c r="E12" i="6"/>
  <c r="D26" i="22"/>
  <c r="D15" i="8" s="1"/>
  <c r="D24" i="22"/>
  <c r="D13" i="8" s="1"/>
  <c r="D22" i="22"/>
  <c r="D11" i="8" s="1"/>
  <c r="D20" i="22"/>
  <c r="D9" i="8" s="1"/>
  <c r="D18" i="22"/>
  <c r="D7" i="8" s="1"/>
  <c r="J23" i="8" l="1"/>
  <c r="H18" i="17" s="1"/>
  <c r="J24" i="8"/>
  <c r="H19" i="17" s="1"/>
  <c r="J25" i="8"/>
  <c r="H20" i="17" s="1"/>
  <c r="J26" i="8"/>
  <c r="H21" i="17" s="1"/>
  <c r="J27" i="8"/>
  <c r="H22" i="17" s="1"/>
  <c r="J28" i="8"/>
  <c r="H23" i="17" s="1"/>
  <c r="J29" i="8"/>
  <c r="H24" i="17" s="1"/>
  <c r="J30" i="8"/>
  <c r="H25" i="17" s="1"/>
  <c r="J31" i="8"/>
  <c r="H26" i="17" s="1"/>
  <c r="J22" i="8"/>
  <c r="H17" i="17" s="1"/>
  <c r="C23" i="8"/>
  <c r="C65" i="24" s="1"/>
  <c r="E23" i="8"/>
  <c r="F23" i="8"/>
  <c r="G23" i="8"/>
  <c r="C24" i="8"/>
  <c r="D24" i="8"/>
  <c r="AI7" i="8" s="1"/>
  <c r="E24" i="8"/>
  <c r="F24" i="8"/>
  <c r="G24" i="8"/>
  <c r="C25" i="8"/>
  <c r="E25" i="8"/>
  <c r="F25" i="8"/>
  <c r="G25" i="8"/>
  <c r="C26" i="28" s="1"/>
  <c r="C26" i="8"/>
  <c r="D26" i="8"/>
  <c r="AI8" i="8" s="1"/>
  <c r="E26" i="8"/>
  <c r="F26" i="8"/>
  <c r="G26" i="8"/>
  <c r="C27" i="8"/>
  <c r="E27" i="8"/>
  <c r="F27" i="8"/>
  <c r="G27" i="8"/>
  <c r="C28" i="8"/>
  <c r="D28" i="8"/>
  <c r="AI9" i="8" s="1"/>
  <c r="E28" i="8"/>
  <c r="F28" i="8"/>
  <c r="G28" i="8"/>
  <c r="C29" i="8"/>
  <c r="E29" i="8"/>
  <c r="F29" i="8"/>
  <c r="G29" i="8"/>
  <c r="C30" i="8"/>
  <c r="D30" i="8"/>
  <c r="AI10" i="8" s="1"/>
  <c r="E30" i="8"/>
  <c r="F30" i="8"/>
  <c r="G30" i="8"/>
  <c r="C31" i="8"/>
  <c r="D31" i="8"/>
  <c r="E31" i="8"/>
  <c r="F31" i="8"/>
  <c r="G31" i="8"/>
  <c r="D22" i="8"/>
  <c r="E22" i="8"/>
  <c r="F22" i="8"/>
  <c r="G22" i="8"/>
  <c r="C22" i="8"/>
  <c r="C64" i="24" s="1"/>
  <c r="D29" i="8"/>
  <c r="D27" i="8"/>
  <c r="D25" i="8"/>
  <c r="D23" i="8"/>
  <c r="C31" i="28" l="1"/>
  <c r="E44" i="6"/>
  <c r="B36" i="12"/>
  <c r="D36" i="12" s="1"/>
  <c r="B30" i="26"/>
  <c r="H30" i="26" s="1"/>
  <c r="C33" i="13"/>
  <c r="C25" i="17"/>
  <c r="E25" i="17" s="1"/>
  <c r="C23" i="28"/>
  <c r="E36" i="6"/>
  <c r="C25" i="13"/>
  <c r="B22" i="26"/>
  <c r="B28" i="12"/>
  <c r="C17" i="17"/>
  <c r="C66" i="24"/>
  <c r="C30" i="28"/>
  <c r="E43" i="6"/>
  <c r="B29" i="26"/>
  <c r="H29" i="26" s="1"/>
  <c r="C32" i="13"/>
  <c r="B35" i="12"/>
  <c r="D35" i="12" s="1"/>
  <c r="C24" i="17"/>
  <c r="E24" i="17" s="1"/>
  <c r="C28" i="28"/>
  <c r="C30" i="13"/>
  <c r="B27" i="26"/>
  <c r="H27" i="26" s="1"/>
  <c r="B33" i="12"/>
  <c r="D33" i="12" s="1"/>
  <c r="E41" i="6"/>
  <c r="C22" i="17"/>
  <c r="E22" i="17" s="1"/>
  <c r="C25" i="28"/>
  <c r="E38" i="6"/>
  <c r="B24" i="26"/>
  <c r="C27" i="13"/>
  <c r="B30" i="12"/>
  <c r="C19" i="17"/>
  <c r="E36" i="14"/>
  <c r="C14" i="14"/>
  <c r="C18" i="14"/>
  <c r="C15" i="14"/>
  <c r="AI6" i="8"/>
  <c r="H36" i="14"/>
  <c r="E38" i="14"/>
  <c r="C63" i="24"/>
  <c r="H38" i="14"/>
  <c r="C32" i="28"/>
  <c r="E45" i="6"/>
  <c r="C34" i="13"/>
  <c r="B31" i="26"/>
  <c r="H31" i="26" s="1"/>
  <c r="B37" i="12"/>
  <c r="D37" i="12" s="1"/>
  <c r="C26" i="17"/>
  <c r="E26" i="17" s="1"/>
  <c r="C17" i="14"/>
  <c r="C27" i="28"/>
  <c r="C29" i="13"/>
  <c r="B32" i="12"/>
  <c r="D32" i="12" s="1"/>
  <c r="B26" i="26"/>
  <c r="H26" i="26" s="1"/>
  <c r="E40" i="6"/>
  <c r="C21" i="17"/>
  <c r="E21" i="17" s="1"/>
  <c r="C24" i="28"/>
  <c r="B23" i="26"/>
  <c r="E37" i="6"/>
  <c r="C26" i="13"/>
  <c r="B29" i="12"/>
  <c r="C18" i="17"/>
  <c r="C29" i="28"/>
  <c r="B34" i="12"/>
  <c r="D34" i="12" s="1"/>
  <c r="C31" i="13"/>
  <c r="B28" i="26"/>
  <c r="H28" i="26" s="1"/>
  <c r="E42" i="6"/>
  <c r="C23" i="17"/>
  <c r="E23" i="17" s="1"/>
  <c r="C28" i="13"/>
  <c r="E39" i="6"/>
  <c r="B31" i="12"/>
  <c r="B25" i="26"/>
  <c r="C20" i="17"/>
  <c r="E20" i="17" s="1"/>
  <c r="F18" i="17" l="1"/>
  <c r="E18" i="17"/>
  <c r="F17" i="17"/>
  <c r="E17" i="17"/>
  <c r="D29" i="14"/>
  <c r="D30" i="14"/>
  <c r="F19" i="17"/>
  <c r="E19" i="17"/>
  <c r="G23" i="17"/>
  <c r="F23" i="17"/>
  <c r="I23" i="17"/>
  <c r="F30" i="13"/>
  <c r="G30" i="13"/>
  <c r="I30" i="13"/>
  <c r="H30" i="13"/>
  <c r="E30" i="13"/>
  <c r="G32" i="28"/>
  <c r="P32" i="28"/>
  <c r="L32" i="28"/>
  <c r="F25" i="17"/>
  <c r="I25" i="17"/>
  <c r="G25" i="17"/>
  <c r="I34" i="13"/>
  <c r="E34" i="13"/>
  <c r="G34" i="13"/>
  <c r="F34" i="13"/>
  <c r="H34" i="13"/>
  <c r="G25" i="13"/>
  <c r="F25" i="13"/>
  <c r="E33" i="13"/>
  <c r="G33" i="13"/>
  <c r="H33" i="13"/>
  <c r="F33" i="13"/>
  <c r="I33" i="13"/>
  <c r="G26" i="13"/>
  <c r="F26" i="13"/>
  <c r="I24" i="17"/>
  <c r="F24" i="17"/>
  <c r="G24" i="17"/>
  <c r="F22" i="17"/>
  <c r="I22" i="17"/>
  <c r="G22" i="17"/>
  <c r="F28" i="13"/>
  <c r="G28" i="13"/>
  <c r="G27" i="13"/>
  <c r="F27" i="13"/>
  <c r="F29" i="13"/>
  <c r="G29" i="13"/>
  <c r="I29" i="13"/>
  <c r="E29" i="13"/>
  <c r="H29" i="13"/>
  <c r="G27" i="28"/>
  <c r="P27" i="28"/>
  <c r="L27" i="28"/>
  <c r="I21" i="17"/>
  <c r="G21" i="17"/>
  <c r="F21" i="17"/>
  <c r="L30" i="28"/>
  <c r="G30" i="28"/>
  <c r="P30" i="28"/>
  <c r="G28" i="28"/>
  <c r="L28" i="28"/>
  <c r="P28" i="28"/>
  <c r="G32" i="13"/>
  <c r="I32" i="13"/>
  <c r="E32" i="13"/>
  <c r="F32" i="13"/>
  <c r="H32" i="13"/>
  <c r="F31" i="13"/>
  <c r="E31" i="13"/>
  <c r="H31" i="13"/>
  <c r="G31" i="13"/>
  <c r="I31" i="13"/>
  <c r="P29" i="28"/>
  <c r="G29" i="28"/>
  <c r="L29" i="28"/>
  <c r="G26" i="17"/>
  <c r="F26" i="17"/>
  <c r="I26" i="17"/>
  <c r="G31" i="28"/>
  <c r="P31" i="28"/>
  <c r="L31" i="28"/>
  <c r="F20" i="17"/>
  <c r="C17" i="12" l="1"/>
  <c r="C9" i="13"/>
  <c r="F37" i="24" l="1"/>
  <c r="C13" i="12"/>
  <c r="E18" i="6" l="1"/>
  <c r="E45" i="24"/>
  <c r="C18" i="12"/>
  <c r="C17" i="13"/>
  <c r="C20" i="20"/>
  <c r="E15" i="7"/>
  <c r="B13" i="26"/>
  <c r="C15" i="25"/>
  <c r="C14" i="23"/>
  <c r="C13" i="25"/>
  <c r="E13" i="7"/>
  <c r="C12" i="23"/>
  <c r="C37" i="24"/>
  <c r="C28" i="14"/>
  <c r="D26" i="3"/>
  <c r="E10" i="6"/>
  <c r="D28" i="3" l="1"/>
  <c r="K28" i="27"/>
  <c r="D12" i="18"/>
  <c r="G12" i="19"/>
  <c r="D34" i="3"/>
  <c r="C21" i="12"/>
  <c r="C13" i="13"/>
  <c r="O21" i="6"/>
  <c r="E21" i="7"/>
  <c r="D21" i="25"/>
  <c r="D20" i="23"/>
  <c r="D20" i="3"/>
  <c r="H20" i="3" s="1"/>
  <c r="H26" i="3" s="1"/>
  <c r="D32" i="3"/>
  <c r="D24" i="3"/>
  <c r="H24" i="3" s="1"/>
  <c r="D30" i="3"/>
  <c r="D46" i="28" s="1"/>
  <c r="D22" i="3"/>
  <c r="H22" i="3" s="1"/>
  <c r="E12" i="11" l="1"/>
  <c r="D31" i="14"/>
  <c r="D33" i="14"/>
  <c r="D32" i="14"/>
  <c r="G28" i="27"/>
  <c r="C14" i="18"/>
  <c r="E20" i="6"/>
  <c r="G26" i="28"/>
  <c r="H22" i="26"/>
  <c r="E25" i="13"/>
  <c r="G25" i="28"/>
  <c r="E26" i="13"/>
  <c r="E27" i="13"/>
  <c r="G23" i="28"/>
  <c r="G24" i="28"/>
  <c r="E28" i="13"/>
  <c r="L28" i="27"/>
  <c r="P26" i="28"/>
  <c r="I28" i="13"/>
  <c r="P24" i="28"/>
  <c r="I25" i="13"/>
  <c r="P23" i="28"/>
  <c r="I26" i="13"/>
  <c r="P25" i="28"/>
  <c r="I27" i="13"/>
  <c r="L23" i="28"/>
  <c r="L25" i="28"/>
  <c r="H25" i="13"/>
  <c r="L24" i="28"/>
  <c r="L26" i="28"/>
  <c r="H27" i="13"/>
  <c r="H28" i="13"/>
  <c r="H26" i="13"/>
  <c r="E12" i="19"/>
  <c r="I20" i="17"/>
  <c r="G20" i="17"/>
  <c r="D25" i="20"/>
  <c r="D22" i="20"/>
  <c r="K20" i="26"/>
  <c r="B45" i="24"/>
  <c r="C15" i="11"/>
  <c r="C12" i="11"/>
  <c r="C13" i="11"/>
  <c r="C14" i="11"/>
  <c r="D30" i="12"/>
  <c r="D28" i="12"/>
  <c r="H23" i="26"/>
  <c r="D29" i="12"/>
  <c r="H24" i="26"/>
  <c r="H25" i="26"/>
  <c r="D31" i="12"/>
  <c r="D45" i="24"/>
  <c r="C45" i="24"/>
  <c r="I18" i="17"/>
  <c r="G17" i="17"/>
  <c r="I17" i="17"/>
  <c r="I19" i="17"/>
  <c r="G18" i="17"/>
  <c r="G19" i="17"/>
  <c r="H30" i="3"/>
  <c r="F46" i="28" s="1"/>
  <c r="C14" i="13"/>
  <c r="C22" i="12"/>
  <c r="H21" i="6"/>
  <c r="F21" i="25"/>
  <c r="F21" i="7"/>
  <c r="F20" i="23"/>
  <c r="C23" i="12"/>
  <c r="C21" i="25"/>
  <c r="C20" i="23"/>
  <c r="D56" i="3"/>
  <c r="E27" i="6"/>
  <c r="D19" i="3"/>
  <c r="F12" i="2" s="1"/>
  <c r="K12" i="2" s="1"/>
  <c r="D55" i="3"/>
  <c r="D27" i="3" l="1"/>
  <c r="P29" i="27"/>
  <c r="P28" i="27"/>
  <c r="M21" i="25"/>
  <c r="M20" i="23"/>
  <c r="L33" i="28"/>
  <c r="I35" i="13"/>
  <c r="G33" i="28"/>
  <c r="P33" i="28"/>
  <c r="D25" i="3"/>
  <c r="D35" i="3"/>
  <c r="D31" i="3"/>
  <c r="D21" i="3"/>
  <c r="H35" i="13"/>
  <c r="H32" i="26"/>
  <c r="D20" i="26"/>
  <c r="D24" i="20"/>
  <c r="D57" i="3"/>
  <c r="D23" i="3"/>
  <c r="D29" i="3"/>
  <c r="D33" i="3"/>
  <c r="D30" i="27"/>
  <c r="C22" i="25"/>
  <c r="C21" i="23"/>
  <c r="D58" i="3" l="1"/>
  <c r="D59" i="3" s="1"/>
  <c r="D60" i="3" s="1"/>
  <c r="D61" i="3" s="1"/>
  <c r="D62" i="3" s="1"/>
  <c r="D63" i="3" s="1"/>
  <c r="D64" i="3" s="1"/>
  <c r="D65" i="3" s="1"/>
  <c r="F54" i="3"/>
  <c r="C19" i="13" s="1"/>
  <c r="E23" i="6"/>
  <c r="I12" i="19" l="1"/>
  <c r="F18" i="2"/>
  <c r="K18" i="2" s="1"/>
  <c r="C18" i="13"/>
  <c r="C19" i="12"/>
  <c r="C20" i="12"/>
</calcChain>
</file>

<file path=xl/sharedStrings.xml><?xml version="1.0" encoding="utf-8"?>
<sst xmlns="http://schemas.openxmlformats.org/spreadsheetml/2006/main" count="789" uniqueCount="565">
  <si>
    <t>Contract</t>
  </si>
  <si>
    <t>LC</t>
  </si>
  <si>
    <t>Letter of Credit (LC)</t>
  </si>
  <si>
    <t>Final</t>
  </si>
  <si>
    <t>Shipping Instruction</t>
  </si>
  <si>
    <t>Seller Name</t>
  </si>
  <si>
    <t>Seller Address</t>
  </si>
  <si>
    <t>Item List</t>
  </si>
  <si>
    <t>UoM</t>
  </si>
  <si>
    <t>ICO No</t>
  </si>
  <si>
    <t>Payment Term</t>
  </si>
  <si>
    <t>HS Code</t>
  </si>
  <si>
    <t>CAD</t>
  </si>
  <si>
    <t>Advance &amp; CAD</t>
  </si>
  <si>
    <t>Advance</t>
  </si>
  <si>
    <t>Bag of 60Kg</t>
  </si>
  <si>
    <t>Bag of 50Kg</t>
  </si>
  <si>
    <t>Bag of 30Kg</t>
  </si>
  <si>
    <t>Kg</t>
  </si>
  <si>
    <t>Metric Ton</t>
  </si>
  <si>
    <t>Bulk</t>
  </si>
  <si>
    <r>
      <rPr>
        <b/>
        <sz val="10"/>
        <rFont val="Cambria"/>
        <family val="1"/>
      </rPr>
      <t>SHIPPER</t>
    </r>
  </si>
  <si>
    <r>
      <rPr>
        <b/>
        <sz val="10"/>
        <rFont val="Cambria"/>
        <family val="1"/>
      </rPr>
      <t>APPLICANTS NAME</t>
    </r>
  </si>
  <si>
    <r>
      <rPr>
        <b/>
        <sz val="10"/>
        <rFont val="Cambria"/>
        <family val="1"/>
      </rPr>
      <t>CONSIGNEE</t>
    </r>
  </si>
  <si>
    <r>
      <rPr>
        <b/>
        <sz val="10"/>
        <rFont val="Cambria"/>
        <family val="1"/>
      </rPr>
      <t>REFERENCE</t>
    </r>
  </si>
  <si>
    <r>
      <rPr>
        <b/>
        <sz val="10"/>
        <rFont val="Cambria"/>
        <family val="1"/>
      </rPr>
      <t>SALES CONTRACT REF. NO</t>
    </r>
  </si>
  <si>
    <r>
      <rPr>
        <b/>
        <sz val="10"/>
        <rFont val="Cambria"/>
        <family val="1"/>
      </rPr>
      <t>DATED</t>
    </r>
  </si>
  <si>
    <r>
      <rPr>
        <b/>
        <sz val="10"/>
        <rFont val="Cambria"/>
        <family val="1"/>
      </rPr>
      <t>DELIVEY TERM</t>
    </r>
  </si>
  <si>
    <r>
      <rPr>
        <b/>
        <sz val="10"/>
        <rFont val="Cambria"/>
        <family val="1"/>
      </rPr>
      <t>PORT OF DISCHARGE</t>
    </r>
  </si>
  <si>
    <r>
      <rPr>
        <b/>
        <sz val="10"/>
        <rFont val="Cambria"/>
        <family val="1"/>
      </rPr>
      <t>BANK PERMIT NUMBER</t>
    </r>
  </si>
  <si>
    <r>
      <rPr>
        <b/>
        <sz val="10"/>
        <rFont val="Times New Roman"/>
        <family val="1"/>
      </rPr>
      <t>HS CODE</t>
    </r>
  </si>
  <si>
    <r>
      <rPr>
        <b/>
        <sz val="10"/>
        <rFont val="Cambria"/>
        <family val="1"/>
      </rPr>
      <t>PACKAGING &amp; MARKING</t>
    </r>
  </si>
  <si>
    <r>
      <rPr>
        <b/>
        <sz val="10"/>
        <rFont val="Cambria"/>
        <family val="1"/>
      </rPr>
      <t>DESCRIPTION OF GOODS</t>
    </r>
  </si>
  <si>
    <r>
      <rPr>
        <b/>
        <u/>
        <sz val="12"/>
        <rFont val="Times New Roman"/>
        <family val="1"/>
      </rPr>
      <t> SHIPPING INSTRUCTION</t>
    </r>
  </si>
  <si>
    <r>
      <rPr>
        <b/>
        <sz val="9"/>
        <rFont val="Times New Roman"/>
        <family val="1"/>
      </rPr>
      <t>SHIPPER NAME   FULL ADDRESS IS REQUIRED NAME, TEL, EMAIL, FAX</t>
    </r>
  </si>
  <si>
    <r>
      <rPr>
        <b/>
        <sz val="9"/>
        <rFont val="Times New Roman"/>
        <family val="1"/>
      </rPr>
      <t>CONSIGNEE FULL ADDRESS IS REQUIRED NAME,TEL, EMAIL,FAX</t>
    </r>
  </si>
  <si>
    <r>
      <rPr>
        <b/>
        <sz val="9"/>
        <rFont val="Times New Roman"/>
        <family val="1"/>
      </rPr>
      <t>NOTIFY PARTY FULL ADDRESS IS REQUIRED NAME, TEL, EMAIL, FAX</t>
    </r>
  </si>
  <si>
    <r>
      <rPr>
        <b/>
        <sz val="10"/>
        <rFont val="Times New Roman"/>
        <family val="1"/>
      </rPr>
      <t>2</t>
    </r>
    <r>
      <rPr>
        <b/>
        <sz val="7"/>
        <rFont val="Times New Roman"/>
        <family val="1"/>
      </rPr>
      <t xml:space="preserve">ND </t>
    </r>
    <r>
      <rPr>
        <b/>
        <sz val="10"/>
        <rFont val="Times New Roman"/>
        <family val="1"/>
      </rPr>
      <t>NOTIFY PARTY FULL ADDRESS</t>
    </r>
  </si>
  <si>
    <r>
      <rPr>
        <b/>
        <sz val="9"/>
        <rFont val="Times New Roman"/>
        <family val="1"/>
      </rPr>
      <t>ORIGINAL BILL TYPE</t>
    </r>
  </si>
  <si>
    <r>
      <rPr>
        <b/>
        <sz val="9"/>
        <rFont val="Times New Roman"/>
        <family val="1"/>
      </rPr>
      <t>COLLECT</t>
    </r>
  </si>
  <si>
    <r>
      <rPr>
        <b/>
        <sz val="9"/>
        <rFont val="Times New Roman"/>
        <family val="1"/>
      </rPr>
      <t>FREIGHT</t>
    </r>
  </si>
  <si>
    <r>
      <rPr>
        <b/>
        <sz val="9"/>
        <rFont val="Times New Roman"/>
        <family val="1"/>
      </rPr>
      <t>FREIGHT PAYABLE ELSEWHERE IN BASEL/SWITZERLAND BY WALTER MATTER</t>
    </r>
  </si>
  <si>
    <r>
      <rPr>
        <b/>
        <sz val="9"/>
        <rFont val="Times New Roman"/>
        <family val="1"/>
      </rPr>
      <t>SERVICE CONTRACT NO</t>
    </r>
  </si>
  <si>
    <r>
      <rPr>
        <b/>
        <sz val="9"/>
        <rFont val="Times New Roman"/>
        <family val="1"/>
      </rPr>
      <t>CARGO DESCRIPTION</t>
    </r>
  </si>
  <si>
    <r>
      <rPr>
        <b/>
        <sz val="9"/>
        <rFont val="Times New Roman"/>
        <family val="1"/>
      </rPr>
      <t>HS CODE</t>
    </r>
  </si>
  <si>
    <r>
      <rPr>
        <b/>
        <sz val="9"/>
        <rFont val="Times New Roman"/>
        <family val="1"/>
      </rPr>
      <t>QUANTITY</t>
    </r>
  </si>
  <si>
    <r>
      <rPr>
        <b/>
        <sz val="9"/>
        <rFont val="Times New Roman"/>
        <family val="1"/>
      </rPr>
      <t>GROSS WEIGHT</t>
    </r>
  </si>
  <si>
    <r>
      <rPr>
        <b/>
        <sz val="9"/>
        <rFont val="Times New Roman"/>
        <family val="1"/>
      </rPr>
      <t>VERIFIED GROSS MASS</t>
    </r>
  </si>
  <si>
    <r>
      <rPr>
        <b/>
        <sz val="9"/>
        <rFont val="Times New Roman"/>
        <family val="1"/>
      </rPr>
      <t>SHOULD BE CONDUCTED.</t>
    </r>
  </si>
  <si>
    <r>
      <rPr>
        <b/>
        <sz val="9"/>
        <rFont val="Times New Roman"/>
        <family val="1"/>
      </rPr>
      <t>CERT NUMBER</t>
    </r>
  </si>
  <si>
    <r>
      <rPr>
        <b/>
        <sz val="9"/>
        <rFont val="Times New Roman"/>
        <family val="1"/>
      </rPr>
      <t>PARTIAL SHIPMENT ALLOWED YES/NO</t>
    </r>
  </si>
  <si>
    <r>
      <rPr>
        <b/>
        <sz val="9"/>
        <rFont val="Times New Roman"/>
        <family val="1"/>
      </rPr>
      <t>NOT ALLOWED</t>
    </r>
  </si>
  <si>
    <r>
      <rPr>
        <b/>
        <sz val="9"/>
        <rFont val="Times New Roman"/>
        <family val="1"/>
      </rPr>
      <t>IF REEFER CARGO ;  INDICATE TEMPERATURE SETTINGS</t>
    </r>
  </si>
  <si>
    <r>
      <rPr>
        <b/>
        <sz val="9"/>
        <rFont val="Times New Roman"/>
        <family val="1"/>
      </rPr>
      <t>---------</t>
    </r>
  </si>
  <si>
    <r>
      <rPr>
        <b/>
        <sz val="9"/>
        <rFont val="Times New Roman"/>
        <family val="1"/>
      </rPr>
      <t>NUMBER TYPE AND SIZE OF CONTAINERS</t>
    </r>
  </si>
  <si>
    <r>
      <rPr>
        <b/>
        <sz val="9"/>
        <rFont val="Times New Roman"/>
        <family val="1"/>
      </rPr>
      <t>20 DRY</t>
    </r>
  </si>
  <si>
    <r>
      <rPr>
        <b/>
        <sz val="9"/>
        <rFont val="Times New Roman"/>
        <family val="1"/>
      </rPr>
      <t>40 DRY</t>
    </r>
  </si>
  <si>
    <r>
      <rPr>
        <b/>
        <sz val="9"/>
        <rFont val="Times New Roman"/>
        <family val="1"/>
      </rPr>
      <t>40 DRHC</t>
    </r>
  </si>
  <si>
    <r>
      <rPr>
        <b/>
        <sz val="9"/>
        <rFont val="Times New Roman"/>
        <family val="1"/>
      </rPr>
      <t xml:space="preserve">20
</t>
    </r>
    <r>
      <rPr>
        <b/>
        <sz val="9"/>
        <rFont val="Times New Roman"/>
        <family val="1"/>
      </rPr>
      <t>REEF</t>
    </r>
  </si>
  <si>
    <r>
      <rPr>
        <b/>
        <sz val="9"/>
        <rFont val="Times New Roman"/>
        <family val="1"/>
      </rPr>
      <t>40 REF</t>
    </r>
  </si>
  <si>
    <r>
      <rPr>
        <b/>
        <sz val="9"/>
        <rFont val="Times New Roman"/>
        <family val="1"/>
      </rPr>
      <t>OTHER</t>
    </r>
  </si>
  <si>
    <r>
      <rPr>
        <b/>
        <sz val="9"/>
        <rFont val="Times New Roman"/>
        <family val="1"/>
      </rPr>
      <t>SERVICE MODE (CY/CY - CY/SD )</t>
    </r>
  </si>
  <si>
    <r>
      <rPr>
        <b/>
        <sz val="9"/>
        <rFont val="Times New Roman"/>
        <family val="1"/>
      </rPr>
      <t>PORT OF LOADING</t>
    </r>
  </si>
  <si>
    <r>
      <rPr>
        <b/>
        <sz val="9"/>
        <rFont val="Times New Roman"/>
        <family val="1"/>
      </rPr>
      <t>PLACE OF DISCHARGE</t>
    </r>
  </si>
  <si>
    <r>
      <rPr>
        <b/>
        <sz val="9"/>
        <rFont val="Times New Roman"/>
        <family val="1"/>
      </rPr>
      <t>BOOKING NUMBER</t>
    </r>
  </si>
  <si>
    <r>
      <rPr>
        <b/>
        <sz val="9"/>
        <rFont val="Times New Roman"/>
        <family val="1"/>
      </rPr>
      <t>VESSEL DEPARTURE (ETD)/ DATE</t>
    </r>
  </si>
  <si>
    <r>
      <rPr>
        <b/>
        <sz val="9"/>
        <rFont val="Times New Roman"/>
        <family val="1"/>
      </rPr>
      <t>ADDITIONAL DOCUMENT/REMARK</t>
    </r>
  </si>
  <si>
    <r>
      <rPr>
        <b/>
        <sz val="9"/>
        <rFont val="Times New Roman"/>
        <family val="1"/>
      </rPr>
      <t>14 DAYS FREE TIME AT PORT OF DISCHARGE</t>
    </r>
  </si>
  <si>
    <r>
      <rPr>
        <b/>
        <sz val="9"/>
        <rFont val="Times New Roman"/>
        <family val="1"/>
      </rPr>
      <t>CARGO MOVED BY</t>
    </r>
  </si>
  <si>
    <r>
      <rPr>
        <b/>
        <sz val="9"/>
        <rFont val="Times New Roman"/>
        <family val="1"/>
      </rPr>
      <t>BY TRUCK</t>
    </r>
  </si>
  <si>
    <r>
      <rPr>
        <b/>
        <sz val="9"/>
        <rFont val="Times New Roman"/>
        <family val="1"/>
      </rPr>
      <t>CONTAINER NO</t>
    </r>
  </si>
  <si>
    <r>
      <rPr>
        <b/>
        <sz val="9"/>
        <rFont val="Times New Roman"/>
        <family val="1"/>
      </rPr>
      <t>SEAL NO</t>
    </r>
  </si>
  <si>
    <t>NO:</t>
  </si>
  <si>
    <t>Date:</t>
  </si>
  <si>
    <t>Buyers Name:</t>
  </si>
  <si>
    <t>Buyers Address:</t>
  </si>
  <si>
    <t>Item List:</t>
  </si>
  <si>
    <t>Quantity(Contract):</t>
  </si>
  <si>
    <t>Price:</t>
  </si>
  <si>
    <r>
      <rPr>
        <u/>
        <sz val="20"/>
        <rFont val="Britannic Bold"/>
        <family val="2"/>
      </rPr>
      <t>PACKING LIST CERTIFICATE</t>
    </r>
  </si>
  <si>
    <r>
      <rPr>
        <b/>
        <sz val="11"/>
        <rFont val="Cambria"/>
        <family val="1"/>
      </rPr>
      <t>SHIPPER</t>
    </r>
  </si>
  <si>
    <r>
      <rPr>
        <b/>
        <sz val="11"/>
        <rFont val="Cambria"/>
        <family val="1"/>
      </rPr>
      <t>NOTIFY</t>
    </r>
  </si>
  <si>
    <r>
      <rPr>
        <b/>
        <sz val="11"/>
        <rFont val="Cambria"/>
        <family val="1"/>
      </rPr>
      <t>REFERENCE</t>
    </r>
  </si>
  <si>
    <r>
      <rPr>
        <b/>
        <sz val="11"/>
        <rFont val="Cambria"/>
        <family val="1"/>
      </rPr>
      <t>SALES CONTRACT REF. NO</t>
    </r>
  </si>
  <si>
    <r>
      <rPr>
        <b/>
        <sz val="11"/>
        <rFont val="Cambria"/>
        <family val="1"/>
      </rPr>
      <t>DATED</t>
    </r>
  </si>
  <si>
    <r>
      <rPr>
        <b/>
        <sz val="11"/>
        <rFont val="Cambria"/>
        <family val="1"/>
      </rPr>
      <t>IF TERM OF PAYMENT</t>
    </r>
  </si>
  <si>
    <r>
      <rPr>
        <b/>
        <sz val="11"/>
        <rFont val="Cambria"/>
        <family val="1"/>
      </rPr>
      <t>LC NO</t>
    </r>
  </si>
  <si>
    <r>
      <rPr>
        <b/>
        <sz val="11"/>
        <rFont val="Cambria"/>
        <family val="1"/>
      </rPr>
      <t>DELIVERY TERM</t>
    </r>
  </si>
  <si>
    <r>
      <rPr>
        <b/>
        <sz val="12"/>
        <rFont val="Cambria"/>
        <family val="1"/>
      </rPr>
      <t>PORT OF LOADING</t>
    </r>
  </si>
  <si>
    <r>
      <rPr>
        <b/>
        <sz val="11"/>
        <rFont val="Cambria"/>
        <family val="1"/>
      </rPr>
      <t>PORT OF DISCHARGE</t>
    </r>
  </si>
  <si>
    <r>
      <rPr>
        <b/>
        <sz val="12"/>
        <rFont val="Cambria"/>
        <family val="1"/>
      </rPr>
      <t>FINAL DESTINATION</t>
    </r>
  </si>
  <si>
    <r>
      <rPr>
        <b/>
        <sz val="12"/>
        <rFont val="Times New Roman"/>
        <family val="1"/>
      </rPr>
      <t>HS CODE</t>
    </r>
  </si>
  <si>
    <r>
      <rPr>
        <b/>
        <sz val="11"/>
        <rFont val="Cambria"/>
        <family val="1"/>
      </rPr>
      <t>PACKAGING &amp; MARKING</t>
    </r>
  </si>
  <si>
    <r>
      <rPr>
        <b/>
        <sz val="11"/>
        <rFont val="Cambria"/>
        <family val="1"/>
      </rPr>
      <t>DESCRIPTION OF GOODS</t>
    </r>
  </si>
  <si>
    <r>
      <rPr>
        <b/>
        <sz val="11"/>
        <rFont val="Cambria"/>
        <family val="1"/>
      </rPr>
      <t>QUANTITY IN KG</t>
    </r>
  </si>
  <si>
    <r>
      <rPr>
        <b/>
        <sz val="11"/>
        <rFont val="Cambria"/>
        <family val="1"/>
      </rPr>
      <t>PACKAEGS</t>
    </r>
    <r>
      <rPr>
        <b/>
        <sz val="11"/>
        <rFont val="Times New Roman"/>
        <family val="1"/>
      </rPr>
      <t xml:space="preserve"> </t>
    </r>
    <r>
      <rPr>
        <b/>
        <sz val="11"/>
        <rFont val="Cambria"/>
        <family val="1"/>
      </rPr>
      <t>IN BAGS</t>
    </r>
  </si>
  <si>
    <r>
      <rPr>
        <sz val="11"/>
        <rFont val="Cambria"/>
        <family val="1"/>
      </rPr>
      <t>NET</t>
    </r>
  </si>
  <si>
    <r>
      <rPr>
        <sz val="11"/>
        <rFont val="Cambria"/>
        <family val="1"/>
      </rPr>
      <t>GROSS</t>
    </r>
  </si>
  <si>
    <t>Quantity(Bag of 60Kg):</t>
  </si>
  <si>
    <t>Unit Price(Bag of 60Kg):</t>
  </si>
  <si>
    <t>Quantity(Bag of 50Kg;)</t>
  </si>
  <si>
    <t>Unit Price(Bag of 50Kg):</t>
  </si>
  <si>
    <t>Quantity(Bag of 30Kg):</t>
  </si>
  <si>
    <t>Unit Price(Bag of 30Kg):</t>
  </si>
  <si>
    <t>Unit Price(Kg):</t>
  </si>
  <si>
    <t>Quantity(Kg):</t>
  </si>
  <si>
    <t>Quantity(Metric Ton):</t>
  </si>
  <si>
    <t>Quantity(Bulk):</t>
  </si>
  <si>
    <t>Unit Price(Metric Ton):</t>
  </si>
  <si>
    <t>Unit Price(Bulk):</t>
  </si>
  <si>
    <t>Quantitiy(Container):</t>
  </si>
  <si>
    <t>Unit Price(Container):</t>
  </si>
  <si>
    <t>Quantity(Lb):</t>
  </si>
  <si>
    <t>Unit Price(Lb):</t>
  </si>
  <si>
    <t>UoM(For Price):</t>
  </si>
  <si>
    <t>Unit (For Price):</t>
  </si>
  <si>
    <t>Total Price:</t>
  </si>
  <si>
    <t>UoM(Packing):</t>
  </si>
  <si>
    <t>Lbs</t>
  </si>
  <si>
    <t>Shippment Period:</t>
  </si>
  <si>
    <t>Payment Term:</t>
  </si>
  <si>
    <t>Delivery Term:</t>
  </si>
  <si>
    <t>Cert No:</t>
  </si>
  <si>
    <t>Last Cert No:</t>
  </si>
  <si>
    <t>.</t>
  </si>
  <si>
    <t>Document List:</t>
  </si>
  <si>
    <t>Contract Information</t>
  </si>
  <si>
    <t>Shipping Instruction Information</t>
  </si>
  <si>
    <t>Shipping Line:</t>
  </si>
  <si>
    <t>Alternative 1:</t>
  </si>
  <si>
    <t>Alternative 2:</t>
  </si>
  <si>
    <t>Consignee:</t>
  </si>
  <si>
    <t>Commercial Invoice in Triplicate</t>
  </si>
  <si>
    <t>Destination( Port, Country):</t>
  </si>
  <si>
    <t>LC Information</t>
  </si>
  <si>
    <t>Bank Detail</t>
  </si>
  <si>
    <t xml:space="preserve">Swift Output </t>
  </si>
  <si>
    <t>Sender:</t>
  </si>
  <si>
    <t>Receiver</t>
  </si>
  <si>
    <t>LC No:</t>
  </si>
  <si>
    <t>Delivery Term</t>
  </si>
  <si>
    <t xml:space="preserve">F.O.B </t>
  </si>
  <si>
    <t xml:space="preserve">FULL MARKING: </t>
  </si>
  <si>
    <t>CERT NO:</t>
  </si>
  <si>
    <t>Bank Information</t>
  </si>
  <si>
    <t>Bank Permit:</t>
  </si>
  <si>
    <t>Shipping Information</t>
  </si>
  <si>
    <t>Vessel Name:</t>
  </si>
  <si>
    <t>Voyage No:</t>
  </si>
  <si>
    <t>Bill No:</t>
  </si>
  <si>
    <t>Container No.</t>
  </si>
  <si>
    <t>Seal No.</t>
  </si>
  <si>
    <t>Cert No.</t>
  </si>
  <si>
    <t>Booking Number:</t>
  </si>
  <si>
    <t>ከሰላምታ ጋር</t>
  </si>
  <si>
    <r>
      <rPr>
        <sz val="12"/>
        <rFont val="Ebrima"/>
      </rPr>
      <t>ቀን፡</t>
    </r>
    <r>
      <rPr>
        <sz val="12"/>
        <rFont val="Courier New"/>
        <family val="3"/>
      </rPr>
      <t xml:space="preserve"> ……………………</t>
    </r>
  </si>
  <si>
    <r>
      <rPr>
        <sz val="12"/>
        <rFont val="Ebrima"/>
      </rPr>
      <t>ቁ</t>
    </r>
    <r>
      <rPr>
        <sz val="12"/>
        <rFont val="Courier New"/>
        <family val="3"/>
      </rPr>
      <t>ጥር፡   ……………………….</t>
    </r>
  </si>
  <si>
    <r>
      <rPr>
        <u/>
        <sz val="14"/>
        <rFont val="Ebrima"/>
      </rPr>
      <t>ጉዳዩ፡ </t>
    </r>
    <r>
      <rPr>
        <sz val="14"/>
        <rFont val="Courier New"/>
        <family val="3"/>
      </rPr>
      <t>-</t>
    </r>
    <r>
      <rPr>
        <sz val="14"/>
        <rFont val="Ebrima"/>
      </rPr>
      <t xml:space="preserve"> </t>
    </r>
    <r>
      <rPr>
        <u/>
        <sz val="14"/>
        <rFont val="Ebrima"/>
      </rPr>
      <t>በኮንቲነ ር  የ ሚጫን  ቡና   እንዲመረመርልን</t>
    </r>
  </si>
  <si>
    <r>
      <rPr>
        <sz val="11"/>
        <rFont val="Ebrima"/>
      </rPr>
      <t>ተ</t>
    </r>
    <r>
      <rPr>
        <sz val="11"/>
        <rFont val="Times New Roman"/>
        <family val="1"/>
      </rPr>
      <t>.</t>
    </r>
    <r>
      <rPr>
        <sz val="11"/>
        <rFont val="Ebrima"/>
      </rPr>
      <t>ቁ</t>
    </r>
  </si>
  <si>
    <r>
      <rPr>
        <sz val="11"/>
        <rFont val="Ebrima"/>
      </rPr>
      <t>ሰርተፊኬት ቁጥር</t>
    </r>
  </si>
  <si>
    <r>
      <rPr>
        <sz val="11"/>
        <rFont val="Ebrima"/>
      </rPr>
      <t>ኬሻ ብዛት</t>
    </r>
  </si>
  <si>
    <r>
      <rPr>
        <sz val="11"/>
        <rFont val="Ebrima"/>
      </rPr>
      <t>ኪግ</t>
    </r>
  </si>
  <si>
    <r>
      <rPr>
        <sz val="11"/>
        <rFont val="Ebrima"/>
      </rPr>
      <t>የሚጫንበት ሀገር</t>
    </r>
  </si>
  <si>
    <r>
      <rPr>
        <sz val="11"/>
        <rFont val="Ebrima"/>
      </rPr>
      <t>ምርመራ</t>
    </r>
  </si>
  <si>
    <t xml:space="preserve">ለቡና  ጣዕም ምርመራ ማዕከል </t>
  </si>
  <si>
    <t>አ/አ</t>
  </si>
  <si>
    <t>ባለሙያ ተልኮ ለምርመራ ናሙና  እንዲወሰድልንና  ውጤቱ እንዲገ ለፅልን  እንጠይቃልን፡ ፡   ለሚደረግልን  ቀና  ትብብር  ከወዲሁ እናመሰግናለን፡ ፡</t>
  </si>
  <si>
    <t xml:space="preserve">ዝናው አለማየ ሁ </t>
  </si>
  <si>
    <t>የ ኤክስፖርት መምሪያ  ስ/አስኪያጅ</t>
  </si>
  <si>
    <t>Tare Weight</t>
  </si>
  <si>
    <r>
      <rPr>
        <u/>
        <sz val="16"/>
        <rFont val="Britannic Bold"/>
        <family val="2"/>
      </rPr>
      <t>CERTIFICATE OF QUALITY</t>
    </r>
  </si>
  <si>
    <r>
      <rPr>
        <b/>
        <sz val="11"/>
        <rFont val="Cambria"/>
        <family val="1"/>
      </rPr>
      <t>CONTAINER NO</t>
    </r>
  </si>
  <si>
    <r>
      <rPr>
        <b/>
        <sz val="11"/>
        <rFont val="Cambria"/>
        <family val="1"/>
      </rPr>
      <t>SEAL NO</t>
    </r>
  </si>
  <si>
    <r>
      <rPr>
        <b/>
        <sz val="11"/>
        <rFont val="Cambria"/>
        <family val="1"/>
      </rPr>
      <t>QUALITY OF BAGS PER CONTAINER</t>
    </r>
  </si>
  <si>
    <t>ETHIOPIA</t>
  </si>
  <si>
    <t>ORIGIN: </t>
  </si>
  <si>
    <t>QUALITY:</t>
  </si>
  <si>
    <t>ICO NO:</t>
  </si>
  <si>
    <t>NET WEIGHT: </t>
  </si>
  <si>
    <t>GROSS WEIGHT:</t>
  </si>
  <si>
    <t>QUANTITIY IN LB:</t>
  </si>
  <si>
    <t>DJIBOUTI</t>
  </si>
  <si>
    <t>FROM: </t>
  </si>
  <si>
    <t>TO:</t>
  </si>
  <si>
    <t>DESCRIPTION OF GOODS:</t>
  </si>
  <si>
    <t>2ND NOTIFY:</t>
  </si>
  <si>
    <t>NOTIFY:</t>
  </si>
  <si>
    <t>SHIPPER:</t>
  </si>
  <si>
    <t>MOISTURE CONTENT:</t>
  </si>
  <si>
    <t>MODE OF TRANSPORTATION:</t>
  </si>
  <si>
    <t>CERT NO:</t>
  </si>
  <si>
    <r>
      <rPr>
        <u/>
        <sz val="16"/>
        <rFont val="Times New Roman"/>
        <family val="1"/>
      </rPr>
      <t>CERTIFICATE OF WEIGHT  </t>
    </r>
  </si>
  <si>
    <r>
      <rPr>
        <sz val="11"/>
        <rFont val="Arial"/>
        <family val="2"/>
      </rPr>
      <t>CONTAINER NO</t>
    </r>
  </si>
  <si>
    <r>
      <rPr>
        <sz val="11"/>
        <rFont val="Arial"/>
        <family val="2"/>
      </rPr>
      <t>SEAL NO</t>
    </r>
  </si>
  <si>
    <r>
      <rPr>
        <sz val="11"/>
        <rFont val="Calibri"/>
        <family val="2"/>
      </rPr>
      <t>CONTAINER WEIGHT IN</t>
    </r>
    <r>
      <rPr>
        <sz val="11"/>
        <rFont val="Times New Roman"/>
        <family val="1"/>
      </rPr>
      <t xml:space="preserve"> </t>
    </r>
    <r>
      <rPr>
        <sz val="11"/>
        <rFont val="Calibri"/>
        <family val="2"/>
      </rPr>
      <t>KGS</t>
    </r>
  </si>
  <si>
    <r>
      <rPr>
        <sz val="11"/>
        <rFont val="Calibri"/>
        <family val="2"/>
      </rPr>
      <t>NET</t>
    </r>
    <r>
      <rPr>
        <sz val="11"/>
        <rFont val="Times New Roman"/>
        <family val="1"/>
      </rPr>
      <t xml:space="preserve"> </t>
    </r>
    <r>
      <rPr>
        <sz val="11"/>
        <rFont val="Calibri"/>
        <family val="2"/>
      </rPr>
      <t>WEIGHT</t>
    </r>
  </si>
  <si>
    <r>
      <rPr>
        <sz val="11"/>
        <rFont val="Calibri"/>
        <family val="2"/>
      </rPr>
      <t>GROSS</t>
    </r>
    <r>
      <rPr>
        <sz val="11"/>
        <rFont val="Times New Roman"/>
        <family val="1"/>
      </rPr>
      <t xml:space="preserve"> </t>
    </r>
    <r>
      <rPr>
        <sz val="11"/>
        <rFont val="Calibri"/>
        <family val="2"/>
      </rPr>
      <t>WEIGHT</t>
    </r>
  </si>
  <si>
    <r>
      <rPr>
        <sz val="12"/>
        <rFont val="Cambria"/>
        <family val="1"/>
      </rPr>
      <t>TOTAL</t>
    </r>
    <r>
      <rPr>
        <sz val="12"/>
        <rFont val="Times New Roman"/>
        <family val="1"/>
      </rPr>
      <t xml:space="preserve"> </t>
    </r>
    <r>
      <rPr>
        <sz val="12"/>
        <rFont val="Cambria"/>
        <family val="1"/>
      </rPr>
      <t>SUM</t>
    </r>
  </si>
  <si>
    <t>Description of Goods:</t>
  </si>
  <si>
    <t>Net Weight:</t>
  </si>
  <si>
    <t>Gross Weight:</t>
  </si>
  <si>
    <t>Packages in bags:</t>
  </si>
  <si>
    <t>ORIGIN:</t>
  </si>
  <si>
    <t>ICO No:</t>
  </si>
  <si>
    <r>
      <rPr>
        <sz val="11"/>
        <rFont val="Arial"/>
        <family val="2"/>
      </rPr>
      <t>QUANTITY</t>
    </r>
    <r>
      <rPr>
        <sz val="11"/>
        <rFont val="Times New Roman"/>
        <family val="1"/>
      </rPr>
      <t xml:space="preserve"> </t>
    </r>
    <r>
      <rPr>
        <sz val="11"/>
        <rFont val="Arial"/>
        <family val="2"/>
      </rPr>
      <t>OF BAGS</t>
    </r>
    <r>
      <rPr>
        <sz val="11"/>
        <rFont val="Times New Roman"/>
        <family val="1"/>
      </rPr>
      <t xml:space="preserve"> </t>
    </r>
    <r>
      <rPr>
        <sz val="11"/>
        <rFont val="Arial"/>
        <family val="2"/>
      </rPr>
      <t>PER</t>
    </r>
    <r>
      <rPr>
        <sz val="11"/>
        <rFont val="Times New Roman"/>
        <family val="1"/>
      </rPr>
      <t xml:space="preserve"> </t>
    </r>
    <r>
      <rPr>
        <sz val="11"/>
        <rFont val="Arial"/>
        <family val="2"/>
      </rPr>
      <t>CONTAINER</t>
    </r>
  </si>
  <si>
    <t>BAG WEIGHT</t>
  </si>
  <si>
    <t>FROM:</t>
  </si>
  <si>
    <t>3.   I declare that my lorry is equipped with tarpaulin and that I have received the described goods in good condition. Undertaking to deliver the side goods to their destination without damage by rain or any other causes within reasonable delays.</t>
  </si>
  <si>
    <r>
      <rPr>
        <b/>
        <sz val="14"/>
        <rFont val="Times New Roman"/>
        <family val="1"/>
      </rPr>
      <t>WAY BILL</t>
    </r>
  </si>
  <si>
    <r>
      <rPr>
        <b/>
        <u/>
        <sz val="12"/>
        <rFont val="Times New Roman"/>
        <family val="1"/>
      </rPr>
      <t> Driver’s Declaration</t>
    </r>
  </si>
  <si>
    <t>Truck No:</t>
  </si>
  <si>
    <t>Trailer No:</t>
  </si>
  <si>
    <t>Driver Name:</t>
  </si>
  <si>
    <t>License No:</t>
  </si>
  <si>
    <t>Final Destination:</t>
  </si>
  <si>
    <t>To:</t>
  </si>
  <si>
    <t>Note: Make sure the latest revised form is in use</t>
  </si>
  <si>
    <t>Company Name:</t>
  </si>
  <si>
    <t>Verification Name:  Zinaw Alemayehu</t>
  </si>
  <si>
    <t xml:space="preserve">Verification Signature:                                                       </t>
  </si>
  <si>
    <t xml:space="preserve">The duly authorized contact person of the shipper (by name and signature provided in the statement) hereby certifies, that the above mentioned shipment details have been evaluated carefully and according to the requirements of the International Convention for the Safety of Life at Sea (SOLAS); as they have been published in Chapter VI, Part A, Regulation 2 - Cargo Information. This Verified Gross Mass statement contains the VGM amount per container (for FCL cargo) or  per shipment (for LCL cargo). I hereby confirm that shall be responsible for any inaccuracies in the VGM declared herein.
</t>
  </si>
  <si>
    <r>
      <rPr>
        <b/>
        <sz val="10"/>
        <rFont val="Times New Roman"/>
        <family val="1"/>
      </rPr>
      <t>Weighing Company address &amp; details</t>
    </r>
  </si>
  <si>
    <r>
      <rPr>
        <b/>
        <sz val="10"/>
        <rFont val="Times New Roman"/>
        <family val="1"/>
      </rPr>
      <t>Weighing Party Name</t>
    </r>
  </si>
  <si>
    <r>
      <rPr>
        <b/>
        <sz val="10"/>
        <rFont val="Times New Roman"/>
        <family val="1"/>
      </rPr>
      <t>Shipper Name</t>
    </r>
  </si>
  <si>
    <r>
      <rPr>
        <sz val="10"/>
        <rFont val="Times New Roman"/>
        <family val="1"/>
      </rPr>
      <t xml:space="preserve">Method 1- The container was weighed after it had been packed, only the total VGM to be entered.
</t>
    </r>
    <r>
      <rPr>
        <sz val="10"/>
        <rFont val="Times New Roman"/>
        <family val="1"/>
      </rPr>
      <t>Method 2- All cargo and contents of container were weighed and the container’s tare weight as indicated on the door end of the container was added.</t>
    </r>
  </si>
  <si>
    <r>
      <rPr>
        <b/>
        <sz val="10"/>
        <rFont val="Times New Roman"/>
        <family val="1"/>
      </rPr>
      <t>Total VGM</t>
    </r>
  </si>
  <si>
    <r>
      <rPr>
        <b/>
        <sz val="10"/>
        <rFont val="Times New Roman"/>
        <family val="1"/>
      </rPr>
      <t>Container Tare wt.</t>
    </r>
  </si>
  <si>
    <r>
      <rPr>
        <b/>
        <sz val="10"/>
        <rFont val="Times New Roman"/>
        <family val="1"/>
      </rPr>
      <t>Cargo and packing weight</t>
    </r>
  </si>
  <si>
    <r>
      <rPr>
        <b/>
        <sz val="10"/>
        <rFont val="Times New Roman"/>
        <family val="1"/>
      </rPr>
      <t>Method</t>
    </r>
  </si>
  <si>
    <r>
      <rPr>
        <b/>
        <sz val="10"/>
        <rFont val="Times New Roman"/>
        <family val="1"/>
      </rPr>
      <t>kg or lbs.</t>
    </r>
  </si>
  <si>
    <r>
      <rPr>
        <b/>
        <sz val="10"/>
        <rFont val="Times New Roman"/>
        <family val="1"/>
      </rPr>
      <t>Wt. Method (1 or 2)</t>
    </r>
  </si>
  <si>
    <r>
      <rPr>
        <b/>
        <sz val="10"/>
        <rFont val="Times New Roman"/>
        <family val="1"/>
      </rPr>
      <t>Seal No.:</t>
    </r>
  </si>
  <si>
    <r>
      <rPr>
        <b/>
        <sz val="10"/>
        <rFont val="Times New Roman"/>
        <family val="1"/>
      </rPr>
      <t>Container No.</t>
    </r>
  </si>
  <si>
    <r>
      <rPr>
        <b/>
        <sz val="10"/>
        <rFont val="Times New Roman"/>
        <family val="1"/>
      </rPr>
      <t>Date of Declaration:10/06/2023</t>
    </r>
  </si>
  <si>
    <r>
      <rPr>
        <b/>
        <sz val="10"/>
        <color rgb="FF005291"/>
        <rFont val="Times New Roman"/>
        <family val="1"/>
      </rPr>
      <t>We hereby confirm the verified gross mass for the below containers as outlined below.</t>
    </r>
  </si>
  <si>
    <r>
      <rPr>
        <b/>
        <sz val="12"/>
        <color rgb="FF005291"/>
        <rFont val="Times New Roman"/>
        <family val="1"/>
      </rPr>
      <t>SOLAS Verified Gross Mass Declaration Form</t>
    </r>
  </si>
  <si>
    <r>
      <rPr>
        <b/>
        <sz val="10"/>
        <rFont val="Times New Roman"/>
        <family val="1"/>
      </rPr>
      <t>FM-MA-47(01)</t>
    </r>
  </si>
  <si>
    <t>0 1 0</t>
  </si>
  <si>
    <t>0 1</t>
  </si>
  <si>
    <t xml:space="preserve">         0    1    0  </t>
  </si>
  <si>
    <t>27/06/2023</t>
  </si>
  <si>
    <t>DIRECT</t>
  </si>
  <si>
    <t xml:space="preserve">         X</t>
  </si>
  <si>
    <t xml:space="preserve">                         010    1274    0015-0018
                    CERT NO. 0015-0018</t>
  </si>
  <si>
    <t xml:space="preserve"> X</t>
  </si>
  <si>
    <t xml:space="preserve">                                               X</t>
  </si>
  <si>
    <t xml:space="preserve">                                                     X</t>
  </si>
  <si>
    <t xml:space="preserve">                    25-07-2023
                     ADDIS ABABA</t>
  </si>
  <si>
    <t>25-07-2023
ADDIS ABABA</t>
  </si>
  <si>
    <t>KGS</t>
  </si>
  <si>
    <t xml:space="preserve">      26/06/2023</t>
  </si>
  <si>
    <r>
      <rPr>
        <b/>
        <sz val="11"/>
        <rFont val="Cambria"/>
        <family val="1"/>
      </rPr>
      <t>HEREBY WE DECLEAR THAT NO GENETICALLY MODIFIED CROP IS GROWN IN ETHIOPIA AND THUS</t>
    </r>
  </si>
  <si>
    <r>
      <rPr>
        <u/>
        <sz val="20"/>
        <rFont val="Britannic Bold"/>
        <family val="2"/>
      </rPr>
      <t>NON-GMO CERTIFICATE</t>
    </r>
  </si>
  <si>
    <t>Driver's Name</t>
  </si>
  <si>
    <t>Driver Phone No.</t>
  </si>
  <si>
    <t>License No.</t>
  </si>
  <si>
    <t>TRAILER</t>
  </si>
  <si>
    <t>Plate No.</t>
  </si>
  <si>
    <t>TRUCK</t>
  </si>
  <si>
    <t>ORIGIN</t>
  </si>
  <si>
    <t>NOTIFY: </t>
  </si>
  <si>
    <t> DESCRIPTIONOF GOODS:</t>
  </si>
  <si>
    <t>QUANTITY IN MTS:</t>
  </si>
  <si>
    <t>NO OF BAGS:</t>
  </si>
  <si>
    <t>CONTRACT NO:</t>
  </si>
  <si>
    <t>TERM PRICE:</t>
  </si>
  <si>
    <t>GROSS WEIGHT:</t>
  </si>
  <si>
    <t>NET WEIGHT:</t>
  </si>
  <si>
    <t>PORT OF LOADING:</t>
  </si>
  <si>
    <t>VESSEL NAME &amp; VOYAGE NO:</t>
  </si>
  <si>
    <t>DATED:</t>
  </si>
  <si>
    <t> 10/04/2023</t>
  </si>
  <si>
    <t>BILL NO:</t>
  </si>
  <si>
    <t xml:space="preserve">DISCHARGE PORT: </t>
  </si>
  <si>
    <t>Beneficiary Bank:</t>
  </si>
  <si>
    <t>Address of Bank:</t>
  </si>
  <si>
    <t>Beneficiaries Acc. No:</t>
  </si>
  <si>
    <t>Correspondant Bank:</t>
  </si>
  <si>
    <t>DO number</t>
  </si>
  <si>
    <t>Free Days</t>
  </si>
  <si>
    <t>Vehicle No</t>
  </si>
  <si>
    <t>Port of Loading:</t>
  </si>
  <si>
    <t>Packaging:</t>
  </si>
  <si>
    <t>No of Bags:</t>
  </si>
  <si>
    <t>Shipment Month:</t>
  </si>
  <si>
    <t>Bag Marking:</t>
  </si>
  <si>
    <t>Quantity:</t>
  </si>
  <si>
    <t>Quality:</t>
  </si>
  <si>
    <t>Containers:</t>
  </si>
  <si>
    <t>Service Contract:</t>
  </si>
  <si>
    <t>GRADE:</t>
  </si>
  <si>
    <t>ASCHALEW BERHANU BEKELE</t>
  </si>
  <si>
    <t>010/1116</t>
  </si>
  <si>
    <t>Notify:</t>
  </si>
  <si>
    <t>Description:</t>
  </si>
  <si>
    <r>
      <rPr>
        <b/>
        <sz val="11"/>
        <rFont val="Cambria"/>
        <family val="1"/>
      </rPr>
      <t>TOTAL USD</t>
    </r>
  </si>
  <si>
    <r>
      <rPr>
        <b/>
        <sz val="11"/>
        <rFont val="Cambria"/>
        <family val="1"/>
      </rPr>
      <t>NET</t>
    </r>
  </si>
  <si>
    <r>
      <rPr>
        <b/>
        <sz val="11"/>
        <rFont val="Cambria"/>
        <family val="1"/>
      </rPr>
      <t>TOTAL</t>
    </r>
    <r>
      <rPr>
        <b/>
        <sz val="11"/>
        <rFont val="Times New Roman"/>
        <family val="1"/>
      </rPr>
      <t xml:space="preserve"> </t>
    </r>
    <r>
      <rPr>
        <b/>
        <sz val="11"/>
        <rFont val="Cambria"/>
        <family val="1"/>
      </rPr>
      <t>AMOUNT IN</t>
    </r>
    <r>
      <rPr>
        <b/>
        <sz val="11"/>
        <rFont val="Times New Roman"/>
        <family val="1"/>
      </rPr>
      <t xml:space="preserve"> </t>
    </r>
    <r>
      <rPr>
        <b/>
        <sz val="11"/>
        <rFont val="Cambria"/>
        <family val="1"/>
      </rPr>
      <t>USD</t>
    </r>
  </si>
  <si>
    <r>
      <rPr>
        <b/>
        <sz val="11"/>
        <rFont val="Cambria"/>
        <family val="1"/>
      </rPr>
      <t>UNIT</t>
    </r>
    <r>
      <rPr>
        <b/>
        <sz val="11"/>
        <rFont val="Times New Roman"/>
        <family val="1"/>
      </rPr>
      <t xml:space="preserve"> </t>
    </r>
    <r>
      <rPr>
        <b/>
        <sz val="11"/>
        <rFont val="Cambria"/>
        <family val="1"/>
      </rPr>
      <t>PRICE</t>
    </r>
    <r>
      <rPr>
        <b/>
        <sz val="11"/>
        <rFont val="Times New Roman"/>
        <family val="1"/>
      </rPr>
      <t xml:space="preserve"> </t>
    </r>
    <r>
      <rPr>
        <b/>
        <sz val="11"/>
        <rFont val="Cambria"/>
        <family val="1"/>
      </rPr>
      <t>USC/LB</t>
    </r>
  </si>
  <si>
    <r>
      <rPr>
        <b/>
        <sz val="11"/>
        <rFont val="Cambria"/>
        <family val="1"/>
      </rPr>
      <t>PACKAGES</t>
    </r>
    <r>
      <rPr>
        <b/>
        <sz val="11"/>
        <rFont val="Times New Roman"/>
        <family val="1"/>
      </rPr>
      <t xml:space="preserve"> </t>
    </r>
    <r>
      <rPr>
        <b/>
        <sz val="11"/>
        <rFont val="Cambria"/>
        <family val="1"/>
      </rPr>
      <t>IN BAGS</t>
    </r>
  </si>
  <si>
    <r>
      <rPr>
        <b/>
        <sz val="11"/>
        <rFont val="Cambria"/>
        <family val="1"/>
      </rPr>
      <t>QUANTITY IN LB</t>
    </r>
  </si>
  <si>
    <r>
      <rPr>
        <b/>
        <sz val="11"/>
        <rFont val="Cambria"/>
        <family val="1"/>
      </rPr>
      <t>DELIVEY TERM</t>
    </r>
  </si>
  <si>
    <t>REF, NO.</t>
  </si>
  <si>
    <t>DATE:-</t>
  </si>
  <si>
    <r>
      <rPr>
        <u/>
        <sz val="18"/>
        <rFont val="Britannic Bold"/>
        <family val="2"/>
      </rPr>
      <t>COMMERCIAL INVOICE</t>
    </r>
  </si>
  <si>
    <t>First weight</t>
  </si>
  <si>
    <t>Second Weight</t>
  </si>
  <si>
    <t>Net Weight</t>
  </si>
  <si>
    <t>Applicant</t>
  </si>
  <si>
    <t>Port of Loading/Airport of Dep.</t>
  </si>
  <si>
    <t>Port of Discharge/Airport of Dest.</t>
  </si>
  <si>
    <t>Latest Date of Shipment</t>
  </si>
  <si>
    <t>Description of Goods</t>
  </si>
  <si>
    <t>Seal No. V2</t>
  </si>
  <si>
    <t>Cert No. V2</t>
  </si>
  <si>
    <t>TRUCK/TRAILER</t>
  </si>
  <si>
    <t>Mositure:</t>
  </si>
  <si>
    <t>Processing Station:</t>
  </si>
  <si>
    <t>Station Address:</t>
  </si>
  <si>
    <t>PROCESSING</t>
  </si>
  <si>
    <t>አስቻለው ብርሃኑ በቀለ</t>
  </si>
  <si>
    <t>0952 50 50 50  Email:- aschalew@sador-et.com  12553</t>
  </si>
  <si>
    <t>Driver’s Name</t>
  </si>
  <si>
    <t>የምስክር ወረቀት ቁጥር</t>
  </si>
  <si>
    <t>Truck plate No</t>
  </si>
  <si>
    <t>Trailer No</t>
  </si>
  <si>
    <t>ቀን</t>
  </si>
  <si>
    <t>Destination</t>
  </si>
  <si>
    <t>የምስክር ወረቀት</t>
  </si>
  <si>
    <t>CERTIFICATE</t>
  </si>
  <si>
    <t>ስለ ኢትዮጵያ ቡና ጥራትና ደረጃ የሚሰጥ የምስክር ወረቀት</t>
  </si>
  <si>
    <t>ሆኖ</t>
  </si>
  <si>
    <t xml:space="preserve">(ልክና ቅርፅ) </t>
  </si>
  <si>
    <t>(ዓይነት)</t>
  </si>
  <si>
    <t>መበጠሩንና የ</t>
  </si>
  <si>
    <t xml:space="preserve">ቡና በእኛ ወይም በእኛ ተጠባባቂነት በደንብ የተበጠረና የደረቀ በደረጃም የተመደበና ከመሻገት፤ ከበቆልትነት ወይም ይህን በመሳሰሉ ምክንያት ጉድለት </t>
  </si>
  <si>
    <t>ከሚያመጡ ነገሮች ነፃ መሆኑን እንዲሁም የእርጠበት ክብደቱ ከመቶ አሥራ አንድ ተኩል (11.5%) ያነሰ መሆኑን እየረጋገጥን እንመሰክራለን፡፡</t>
  </si>
  <si>
    <t xml:space="preserve">ASCHALEW BERHANU BEKELE Licensed Coffee Cleaner and Grader  holding License No. BL/AA/04/3333/4835638/2013 under the provision of the coffee quality control &amp; marketing Proclamation 1051/2017 and council of Minsters regulation 433/2018 Coffee cleaning and Grading Regulations of the Ethiopian Government, hereby certify under the penalties in said regulation provided, that the lot of coffee described below has been cleaned &amp; graded by us or under our supervision that the same is clean well dried and free of mounds and noxious fermentation and effect thereof that it contains less than eleven &amp; half percent (11.5%) of moisture by weight and that said lot of coffee is classified and graded as follows: </t>
  </si>
  <si>
    <t xml:space="preserve">(origin)                                                                                                       </t>
  </si>
  <si>
    <t xml:space="preserve"> (grade)</t>
  </si>
  <si>
    <r>
      <rPr>
        <b/>
        <sz val="14"/>
        <rFont val="Ebrima"/>
      </rPr>
      <t>ሐተታ</t>
    </r>
    <r>
      <rPr>
        <b/>
        <sz val="14"/>
        <rFont val="Cambria"/>
        <family val="1"/>
      </rPr>
      <t>/Description of Lot</t>
    </r>
  </si>
  <si>
    <r>
      <rPr>
        <b/>
        <sz val="11"/>
        <rFont val="Ebrima"/>
      </rPr>
      <t>ከረጢቶች</t>
    </r>
    <r>
      <rPr>
        <b/>
        <sz val="11"/>
        <rFont val="Cambria"/>
        <family val="1"/>
      </rPr>
      <t>/B A G S</t>
    </r>
  </si>
  <si>
    <r>
      <rPr>
        <b/>
        <sz val="11"/>
        <rFont val="Ebrima"/>
      </rPr>
      <t>ቁጥር</t>
    </r>
    <r>
      <rPr>
        <b/>
        <sz val="11"/>
        <rFont val="Cambria"/>
        <family val="1"/>
      </rPr>
      <t>/ No</t>
    </r>
  </si>
  <si>
    <r>
      <rPr>
        <b/>
        <sz val="11"/>
        <rFont val="Ebrima"/>
      </rPr>
      <t>ሚዛን</t>
    </r>
    <r>
      <rPr>
        <b/>
        <sz val="11"/>
        <rFont val="Cambria"/>
        <family val="1"/>
      </rPr>
      <t>/Weight</t>
    </r>
  </si>
  <si>
    <r>
      <rPr>
        <b/>
        <sz val="11"/>
        <rFont val="Ebrima"/>
      </rPr>
      <t>ምልክት</t>
    </r>
    <r>
      <rPr>
        <b/>
        <sz val="11"/>
        <rFont val="Cambria"/>
        <family val="1"/>
      </rPr>
      <t>/Mark</t>
    </r>
  </si>
  <si>
    <r>
      <rPr>
        <b/>
        <sz val="11"/>
        <rFont val="Ebrima"/>
      </rPr>
      <t>ጠቅላላ</t>
    </r>
    <r>
      <rPr>
        <b/>
        <sz val="11"/>
        <rFont val="Cambria"/>
        <family val="1"/>
      </rPr>
      <t>/Gross</t>
    </r>
  </si>
  <si>
    <r>
      <rPr>
        <b/>
        <sz val="11"/>
        <rFont val="Ebrima"/>
      </rPr>
      <t>የተጣራ</t>
    </r>
    <r>
      <rPr>
        <b/>
        <sz val="11"/>
        <rFont val="Cambria"/>
        <family val="1"/>
      </rPr>
      <t>/Net</t>
    </r>
  </si>
  <si>
    <r>
      <rPr>
        <b/>
        <sz val="11"/>
        <rFont val="Cambria"/>
        <family val="1"/>
      </rPr>
      <t>…………………………………………….</t>
    </r>
  </si>
  <si>
    <r>
      <rPr>
        <b/>
        <sz val="11"/>
        <rFont val="Cambria"/>
        <family val="1"/>
      </rPr>
      <t>ASCHALEW BERHANU BEKELE</t>
    </r>
  </si>
  <si>
    <r>
      <rPr>
        <sz val="11"/>
        <rFont val="SimSun"/>
      </rPr>
      <t xml:space="preserve"> </t>
    </r>
  </si>
  <si>
    <t>የቡና አበጣሪና የደረጃ መዳቢው ፊርማ ……………………………..</t>
  </si>
  <si>
    <r>
      <rPr>
        <b/>
        <sz val="10"/>
        <rFont val="Cambria"/>
        <family val="1"/>
      </rPr>
      <t>Signature of licensed coffee cleaners &amp; Graders</t>
    </r>
  </si>
  <si>
    <r>
      <rPr>
        <b/>
        <sz val="11"/>
        <rFont val="Ebrima"/>
      </rPr>
      <t>የፈቃድ</t>
    </r>
    <r>
      <rPr>
        <b/>
        <sz val="11"/>
        <rFont val="Cambria"/>
        <family val="1"/>
      </rPr>
      <t xml:space="preserve"> ቁጥር </t>
    </r>
    <r>
      <rPr>
        <b/>
        <sz val="11"/>
        <rFont val="Ebrima"/>
      </rPr>
      <t>;</t>
    </r>
    <r>
      <rPr>
        <b/>
        <sz val="11"/>
        <rFont val="Cambria"/>
        <family val="1"/>
      </rPr>
      <t xml:space="preserve"> </t>
    </r>
    <r>
      <rPr>
        <b/>
        <sz val="10"/>
        <rFont val="Cambria"/>
        <family val="1"/>
      </rPr>
      <t>BL/AA/04/3333/4835638/2013</t>
    </r>
  </si>
  <si>
    <t>Weight of Bags(Kg)</t>
  </si>
  <si>
    <t>Quality</t>
  </si>
  <si>
    <t>Buyers Name</t>
  </si>
  <si>
    <t>Buyers Address</t>
  </si>
  <si>
    <t>Currency Amount</t>
  </si>
  <si>
    <t>No of Bag</t>
  </si>
  <si>
    <t>Consignee</t>
  </si>
  <si>
    <t>Notify</t>
  </si>
  <si>
    <t>PACKAGING &amp; MARKING</t>
  </si>
  <si>
    <t>APPLICANTS NAME</t>
  </si>
  <si>
    <t>BANK OF BENEFICIARY:</t>
  </si>
  <si>
    <t>BENEFICIARIES ACC. NO:</t>
  </si>
  <si>
    <t>NAME OF BENEFICIARY (ACC. NAME):</t>
  </si>
  <si>
    <t>BENEFICIARY ACCOUNT DETAILS</t>
  </si>
  <si>
    <t>SWIFT NUMBER:</t>
  </si>
  <si>
    <t>ADDRESS OF BANK:</t>
  </si>
  <si>
    <t>FULL MARKING:</t>
  </si>
  <si>
    <r>
      <rPr>
        <sz val="10"/>
        <rFont val="Cambria"/>
        <family val="1"/>
      </rPr>
      <t>TOTAL SUM</t>
    </r>
  </si>
  <si>
    <r>
      <rPr>
        <b/>
        <sz val="10"/>
        <rFont val="Cambria"/>
        <family val="1"/>
      </rPr>
      <t>PACKAEGS IN BAGS</t>
    </r>
  </si>
  <si>
    <r>
      <rPr>
        <b/>
        <sz val="10"/>
        <rFont val="Cambria"/>
        <family val="1"/>
      </rPr>
      <t>SEAL NUMBER</t>
    </r>
  </si>
  <si>
    <r>
      <rPr>
        <b/>
        <sz val="10"/>
        <rFont val="Cambria"/>
        <family val="1"/>
      </rPr>
      <t>CONTAINER NUMBER</t>
    </r>
  </si>
  <si>
    <r>
      <rPr>
        <b/>
        <sz val="10"/>
        <rFont val="Cambria"/>
        <family val="1"/>
      </rPr>
      <t>CONTAINERS</t>
    </r>
    <r>
      <rPr>
        <b/>
        <sz val="10"/>
        <rFont val="Times New Roman"/>
        <family val="1"/>
      </rPr>
      <t xml:space="preserve"> </t>
    </r>
    <r>
      <rPr>
        <b/>
        <sz val="10"/>
        <rFont val="Cambria"/>
        <family val="1"/>
      </rPr>
      <t>DETAIL</t>
    </r>
  </si>
  <si>
    <r>
      <rPr>
        <sz val="10"/>
        <rFont val="Cambria"/>
        <family val="1"/>
      </rPr>
      <t>NET WT</t>
    </r>
  </si>
  <si>
    <r>
      <rPr>
        <b/>
        <sz val="10"/>
        <rFont val="Cambria"/>
        <family val="1"/>
      </rPr>
      <t>QUANTITY IN MT</t>
    </r>
  </si>
  <si>
    <r>
      <rPr>
        <b/>
        <sz val="10"/>
        <rFont val="Cambria"/>
        <family val="1"/>
      </rPr>
      <t>VOYAGE NO:</t>
    </r>
  </si>
  <si>
    <r>
      <rPr>
        <b/>
        <sz val="10"/>
        <rFont val="Cambria"/>
        <family val="1"/>
      </rPr>
      <t>VESSEL NAME</t>
    </r>
  </si>
  <si>
    <r>
      <rPr>
        <b/>
        <sz val="10"/>
        <rFont val="Cambria"/>
        <family val="1"/>
      </rPr>
      <t>SHIPPING LINE:</t>
    </r>
  </si>
  <si>
    <r>
      <rPr>
        <b/>
        <sz val="10"/>
        <rFont val="Cambria"/>
        <family val="1"/>
      </rPr>
      <t>BILL NO.</t>
    </r>
  </si>
  <si>
    <r>
      <rPr>
        <b/>
        <sz val="10"/>
        <rFont val="Cambria"/>
        <family val="1"/>
      </rPr>
      <t>Final Destination</t>
    </r>
  </si>
  <si>
    <r>
      <rPr>
        <b/>
        <sz val="10"/>
        <rFont val="Cambria"/>
        <family val="1"/>
      </rPr>
      <t>Port of loading</t>
    </r>
  </si>
  <si>
    <t>GROSS WEIGHT</t>
  </si>
  <si>
    <t>NET WEIGHT</t>
  </si>
  <si>
    <t xml:space="preserve"> </t>
  </si>
  <si>
    <t>Container No:</t>
  </si>
  <si>
    <t>Seal No:</t>
  </si>
  <si>
    <t>Drivers List</t>
  </si>
  <si>
    <t>Driver Phone No:</t>
  </si>
  <si>
    <t>According to the following terms and conditions.</t>
  </si>
  <si>
    <t>1.   I undertake to make good any shortage in goods at the market price ruling.</t>
  </si>
  <si>
    <t>2.   I agree that this consignment is now under my charge and entire responsibility.</t>
  </si>
  <si>
    <t>ከላይ የተጠቀሱትን ህግና ደንቦች አንብቤና ተረድቼ ለማንኛውም ችግር ሀላፊነት ለመውሰድ በፊርማየ አረጋግጣለሁ፡ ፡</t>
  </si>
  <si>
    <t>No of Bag:</t>
  </si>
  <si>
    <t>DATE:</t>
  </si>
  <si>
    <t>REF. No:</t>
  </si>
  <si>
    <t>Company Name</t>
  </si>
  <si>
    <t>Phone Number</t>
  </si>
  <si>
    <t>Location</t>
  </si>
  <si>
    <t xml:space="preserve">ICO No: </t>
  </si>
  <si>
    <t>Net Weight:</t>
  </si>
  <si>
    <t>Gross Weight:</t>
  </si>
  <si>
    <t xml:space="preserve">Signature: </t>
  </si>
  <si>
    <t xml:space="preserve">Date: </t>
  </si>
  <si>
    <t xml:space="preserve">Stamp &amp; Date: </t>
  </si>
  <si>
    <t>Driver name:</t>
  </si>
  <si>
    <t>Detail of Goods</t>
  </si>
  <si>
    <t>www.dhakaboracoffee.com</t>
  </si>
  <si>
    <t>REF. No:</t>
  </si>
  <si>
    <t>SHIPPING LINE: MAERSK SHIPPING LINE / TO: ORBIT FREIGHT LOGISTICS</t>
  </si>
  <si>
    <t>REF. NO:</t>
  </si>
  <si>
    <t xml:space="preserve">ስለ ቡና ጥራት ቁጥጥርና ግብይት በወጣው አዋጅ ቁጥር ፩ ሺህ ፶፩/፪ ሺህ ፱ ከዚህ ጋር ተያይዞ በወጣው የሚኒስትሮች ምክር ቤት ደንብ ቁጥር ፬፻፴፫/፪ሺ፲፩ መሠረት </t>
  </si>
  <si>
    <t xml:space="preserve"> መሠረት በማድረግ ከዚህ በታች የተዘረዘረው ቡና ፤</t>
  </si>
  <si>
    <t>እኛ አስቻለው ብርሃኑ ዳካቦራ ኤክስትሩዥን በቁጥር BL/AA/04/3333/4835638/2013 የሆነ የፈቃድ ወረቀት የተሰጠን በተጠቀሱት አዋጅና ደንቦች</t>
  </si>
  <si>
    <t>Cert.No</t>
  </si>
  <si>
    <t xml:space="preserve">Date </t>
  </si>
  <si>
    <t>Container No</t>
  </si>
  <si>
    <t>Seal No</t>
  </si>
  <si>
    <t>Page Two</t>
  </si>
  <si>
    <t>Yes</t>
  </si>
  <si>
    <t>No</t>
  </si>
  <si>
    <t>Weight</t>
  </si>
  <si>
    <t>DATE</t>
  </si>
  <si>
    <t>Ref No:</t>
  </si>
  <si>
    <t>REF, NO:</t>
  </si>
  <si>
    <t>THE SHIPMENT WHICH IS TO BE SOLD UNDER THE FOLLOWING CONDITION IS FREE FROM GENETICALLY MODIFIED CONTENT.</t>
  </si>
  <si>
    <t>THE SHIPMENT IS FREE FROM GENETICALLY MODIFIED CONTENTS.</t>
  </si>
  <si>
    <t>CROP YEAR</t>
  </si>
  <si>
    <r>
      <rPr>
        <b/>
        <sz val="10"/>
        <rFont val="Cambria"/>
        <family val="1"/>
      </rPr>
      <t>PACKING DATE:</t>
    </r>
    <r>
      <rPr>
        <sz val="10"/>
        <rFont val="Cambria"/>
        <family val="1"/>
      </rPr>
      <t xml:space="preserve">
</t>
    </r>
  </si>
  <si>
    <t>PACKING PLACE:</t>
  </si>
  <si>
    <t xml:space="preserve">ADDRESS: </t>
  </si>
  <si>
    <t>PACKING LIST CERTIFICATE</t>
  </si>
  <si>
    <t>Email</t>
  </si>
  <si>
    <t>Phone</t>
  </si>
  <si>
    <t>0992454545</t>
  </si>
  <si>
    <t xml:space="preserve">                                                                          1    1   1    6</t>
  </si>
  <si>
    <t>CERTIFICATE OF CLEANLINESS AND GRADE OF ETHIOPIAN COFFEE</t>
  </si>
  <si>
    <t>2nd Notify</t>
  </si>
  <si>
    <t>Shipment Reference :</t>
  </si>
  <si>
    <t xml:space="preserve"> 0   4    0</t>
  </si>
  <si>
    <t>Selected:</t>
  </si>
  <si>
    <t>ETHIOPIAN SHIPPING AND LOGISTICS SERVICES ENTERPRISE (ESLSE)</t>
  </si>
  <si>
    <t>+25377384845/+253 77031882/+253 21380802</t>
  </si>
  <si>
    <t xml:space="preserve">The Truck carry the above mentioned Transport at ETH Birr </t>
  </si>
  <si>
    <t>per quantal</t>
  </si>
  <si>
    <t>total Birr</t>
  </si>
  <si>
    <t>GROSS WT</t>
  </si>
  <si>
    <t>CERT NO,</t>
  </si>
  <si>
    <t>የቡናው አይነት</t>
  </si>
  <si>
    <t>Gross</t>
  </si>
  <si>
    <t>Amharic Name</t>
  </si>
  <si>
    <t>ሆራይዘን ቡና ማበጠሪያ</t>
  </si>
  <si>
    <t>Revised Shipping Instruction</t>
  </si>
  <si>
    <t>Revised Letter of Credit</t>
  </si>
  <si>
    <t>Revised Entry Section</t>
  </si>
  <si>
    <t>2nd Notify:</t>
  </si>
  <si>
    <t>Revised Entry section</t>
  </si>
  <si>
    <r>
      <rPr>
        <b/>
        <sz val="12"/>
        <rFont val="Calibri"/>
        <family val="2"/>
      </rPr>
      <t>COMMERCIAL INVOICE</t>
    </r>
  </si>
  <si>
    <r>
      <rPr>
        <b/>
        <sz val="12"/>
        <rFont val="Calibri"/>
        <family val="2"/>
      </rPr>
      <t>PAGE 1 OF 1</t>
    </r>
  </si>
  <si>
    <r>
      <rPr>
        <b/>
        <sz val="12"/>
        <rFont val="Calibri"/>
        <family val="2"/>
      </rPr>
      <t>ORIGINAL</t>
    </r>
  </si>
  <si>
    <r>
      <rPr>
        <b/>
        <sz val="11"/>
        <rFont val="Calibri"/>
        <family val="2"/>
      </rPr>
      <t>Date:</t>
    </r>
  </si>
  <si>
    <r>
      <rPr>
        <b/>
        <sz val="11"/>
        <rFont val="Calibri"/>
        <family val="2"/>
      </rPr>
      <t>Sales Contract Ref:</t>
    </r>
  </si>
  <si>
    <r>
      <rPr>
        <b/>
        <sz val="11"/>
        <rFont val="Calibri"/>
        <family val="2"/>
      </rPr>
      <t>Ref No:</t>
    </r>
  </si>
  <si>
    <r>
      <rPr>
        <b/>
        <sz val="11"/>
        <rFont val="Calibri"/>
        <family val="2"/>
      </rPr>
      <t>Sales Contract Date:</t>
    </r>
  </si>
  <si>
    <t xml:space="preserve">Exporter/Beneficiary/Seller
</t>
  </si>
  <si>
    <t xml:space="preserve">Bank Permit Number
</t>
  </si>
  <si>
    <t xml:space="preserve">Bill of Lading Number
</t>
  </si>
  <si>
    <t xml:space="preserve">Method of Dispatch
</t>
  </si>
  <si>
    <r>
      <rPr>
        <b/>
        <sz val="11"/>
        <rFont val="Calibri"/>
        <family val="2"/>
      </rPr>
      <t>Vessel &amp; Voyage</t>
    </r>
    <r>
      <rPr>
        <b/>
        <sz val="11"/>
        <rFont val="Calibri"/>
      </rPr>
      <t xml:space="preserve"> Number</t>
    </r>
  </si>
  <si>
    <r>
      <rPr>
        <b/>
        <sz val="11"/>
        <rFont val="Calibri"/>
        <family val="2"/>
      </rPr>
      <t>Shipped on Boar</t>
    </r>
    <r>
      <rPr>
        <b/>
        <sz val="11"/>
        <rFont val="Calibri"/>
      </rPr>
      <t>d Date</t>
    </r>
  </si>
  <si>
    <r>
      <t>ECCSA - Certifica</t>
    </r>
    <r>
      <rPr>
        <b/>
        <sz val="11"/>
        <rFont val="Calibri"/>
      </rPr>
      <t>te of Origin Number</t>
    </r>
  </si>
  <si>
    <t>N/A</t>
  </si>
  <si>
    <r>
      <rPr>
        <b/>
        <sz val="11"/>
        <rFont val="Calibri"/>
        <family val="2"/>
      </rPr>
      <t>S / N</t>
    </r>
  </si>
  <si>
    <r>
      <rPr>
        <b/>
        <sz val="11"/>
        <rFont val="Calibri"/>
        <family val="2"/>
      </rPr>
      <t>DESCRIPTION OF GOODS</t>
    </r>
  </si>
  <si>
    <r>
      <rPr>
        <b/>
        <sz val="11"/>
        <rFont val="Calibri"/>
        <family val="2"/>
      </rPr>
      <t>HS CODE</t>
    </r>
  </si>
  <si>
    <t>TOTAL AMOUNT IN USD</t>
  </si>
  <si>
    <r>
      <rPr>
        <b/>
        <sz val="11"/>
        <rFont val="Calibri"/>
        <family val="2"/>
      </rPr>
      <t>AMOUNT IN WORDS:</t>
    </r>
  </si>
  <si>
    <r>
      <rPr>
        <b/>
        <sz val="11"/>
        <rFont val="Calibri"/>
        <family val="2"/>
      </rPr>
      <t>ADVANCE PAYMENT (TT) IN USD</t>
    </r>
  </si>
  <si>
    <r>
      <rPr>
        <b/>
        <sz val="11"/>
        <rFont val="Calibri"/>
        <family val="2"/>
      </rPr>
      <t>BALANCE TO BE SETTLED IN USD</t>
    </r>
  </si>
  <si>
    <r>
      <rPr>
        <b/>
        <u/>
        <sz val="11"/>
        <rFont val="Calibri"/>
        <family val="2"/>
      </rPr>
      <t>Bank Details (Beneficiary):</t>
    </r>
  </si>
  <si>
    <r>
      <rPr>
        <b/>
        <u/>
        <sz val="11"/>
        <rFont val="Calibri"/>
        <family val="2"/>
      </rPr>
      <t>Correspondent Bank:</t>
    </r>
  </si>
  <si>
    <t>Bank of Beneficiary:</t>
  </si>
  <si>
    <t>Bank Name:</t>
  </si>
  <si>
    <t>SWIFT Number: DASHETAA</t>
  </si>
  <si>
    <t xml:space="preserve">Address of Bank: </t>
  </si>
  <si>
    <t>Name of Beneficiary (Acc. Name):</t>
  </si>
  <si>
    <t>SWIFT Number:</t>
  </si>
  <si>
    <t xml:space="preserve">Acc. No: </t>
  </si>
  <si>
    <r>
      <rPr>
        <b/>
        <sz val="11"/>
        <rFont val="Calibri"/>
        <family val="2"/>
      </rPr>
      <t>Country of Origin:</t>
    </r>
  </si>
  <si>
    <t xml:space="preserve">Place of Issue
</t>
  </si>
  <si>
    <r>
      <rPr>
        <b/>
        <sz val="11"/>
        <rFont val="Calibri"/>
        <family val="2"/>
      </rPr>
      <t>Port of Loading:</t>
    </r>
  </si>
  <si>
    <t>ADDIS ABABA, ETHIOPIA</t>
  </si>
  <si>
    <r>
      <rPr>
        <b/>
        <sz val="11"/>
        <rFont val="Calibri"/>
        <family val="2"/>
      </rPr>
      <t>Port of Discharge:</t>
    </r>
  </si>
  <si>
    <t xml:space="preserve">Date of Issue
</t>
  </si>
  <si>
    <r>
      <rPr>
        <b/>
        <sz val="11"/>
        <rFont val="Calibri"/>
        <family val="2"/>
      </rPr>
      <t>Final Destination:</t>
    </r>
  </si>
  <si>
    <r>
      <rPr>
        <b/>
        <sz val="11"/>
        <rFont val="Calibri"/>
        <family val="2"/>
      </rPr>
      <t>Delivery/Trade Term:</t>
    </r>
  </si>
  <si>
    <t xml:space="preserve">Signatory Company
</t>
  </si>
  <si>
    <r>
      <rPr>
        <b/>
        <sz val="11"/>
        <rFont val="Calibri"/>
        <family val="2"/>
      </rPr>
      <t>Type of Shipment:</t>
    </r>
  </si>
  <si>
    <r>
      <rPr>
        <sz val="11"/>
        <rFont val="Calibri"/>
        <family val="2"/>
      </rPr>
      <t>4 X 20FT (FCL)</t>
    </r>
  </si>
  <si>
    <r>
      <rPr>
        <b/>
        <sz val="11"/>
        <rFont val="Calibri"/>
        <family val="2"/>
      </rPr>
      <t>Incoterm:</t>
    </r>
  </si>
  <si>
    <r>
      <rPr>
        <b/>
        <sz val="11"/>
        <rFont val="Calibri"/>
        <family val="2"/>
      </rPr>
      <t xml:space="preserve">Name of Authorized Signatory
</t>
    </r>
    <r>
      <rPr>
        <sz val="11"/>
        <rFont val="Calibri"/>
        <family val="2"/>
      </rPr>
      <t>ZELALEM CHALACHEW AMSALU</t>
    </r>
  </si>
  <si>
    <t xml:space="preserve">Term/Method of Payment
</t>
  </si>
  <si>
    <r>
      <rPr>
        <sz val="9"/>
        <rFont val="Calibri"/>
        <family val="2"/>
      </rPr>
      <t>We hereby certify that this invoice is in all respects correct and true,</t>
    </r>
    <r>
      <rPr>
        <sz val="9"/>
        <rFont val="Times New Roman"/>
        <family val="1"/>
      </rPr>
      <t xml:space="preserve"> </t>
    </r>
    <r>
      <rPr>
        <sz val="9"/>
        <rFont val="Calibri"/>
        <family val="2"/>
      </rPr>
      <t>as regards to both the prices and description of the goods referred</t>
    </r>
    <r>
      <rPr>
        <sz val="9"/>
        <rFont val="Times New Roman"/>
        <family val="1"/>
      </rPr>
      <t xml:space="preserve"> </t>
    </r>
    <r>
      <rPr>
        <sz val="9"/>
        <rFont val="Calibri"/>
        <family val="2"/>
      </rPr>
      <t xml:space="preserve">to herein, and that the country of origin of the goods is </t>
    </r>
    <r>
      <rPr>
        <b/>
        <sz val="9"/>
        <rFont val="Calibri"/>
        <family val="2"/>
      </rPr>
      <t>Ethiopia</t>
    </r>
    <r>
      <rPr>
        <sz val="9"/>
        <rFont val="Calibri"/>
        <family val="2"/>
      </rPr>
      <t>.</t>
    </r>
  </si>
  <si>
    <t>Packaging &amp; Marking (Label)</t>
  </si>
  <si>
    <r>
      <rPr>
        <b/>
        <sz val="11"/>
        <rFont val="Calibri"/>
        <family val="2"/>
      </rPr>
      <t>Authorized Signature &amp; Company Seal/Stamp</t>
    </r>
  </si>
  <si>
    <r>
      <rPr>
        <b/>
        <sz val="12"/>
        <rFont val="Calibri"/>
        <family val="2"/>
      </rPr>
      <t>PACKING LIST</t>
    </r>
  </si>
  <si>
    <t>DESCRIPTION OF GOODS</t>
  </si>
  <si>
    <t>HS CODE:</t>
  </si>
  <si>
    <r>
      <rPr>
        <b/>
        <sz val="11"/>
        <rFont val="Calibri"/>
        <family val="2"/>
      </rPr>
      <t>Container Number</t>
    </r>
  </si>
  <si>
    <r>
      <rPr>
        <b/>
        <sz val="11"/>
        <rFont val="Calibri"/>
        <family val="2"/>
      </rPr>
      <t>Net Weight in KGS</t>
    </r>
  </si>
  <si>
    <r>
      <rPr>
        <b/>
        <sz val="11"/>
        <rFont val="Calibri"/>
        <family val="2"/>
      </rPr>
      <t>Gross Weight in KGS</t>
    </r>
  </si>
  <si>
    <r>
      <rPr>
        <sz val="11"/>
        <rFont val="Calibri"/>
        <family val="2"/>
      </rPr>
      <t>ETHIOPIA</t>
    </r>
  </si>
  <si>
    <r>
      <rPr>
        <b/>
        <sz val="11"/>
        <rFont val="Calibri"/>
        <family val="2"/>
      </rPr>
      <t xml:space="preserve">Place of Issue
</t>
    </r>
    <r>
      <rPr>
        <sz val="11"/>
        <rFont val="Calibri"/>
        <family val="2"/>
      </rPr>
      <t>ADDIS ABABA, ETHIOPIA</t>
    </r>
  </si>
  <si>
    <r>
      <rPr>
        <sz val="11"/>
        <rFont val="Calibri"/>
        <family val="2"/>
      </rPr>
      <t>INCOTERMS 2020</t>
    </r>
  </si>
  <si>
    <r>
      <rPr>
        <b/>
        <sz val="11"/>
        <rFont val="Calibri"/>
        <family val="2"/>
      </rPr>
      <t xml:space="preserve">Term/Method of Payment
</t>
    </r>
    <r>
      <rPr>
        <sz val="10"/>
        <rFont val="Calibri"/>
        <family val="2"/>
      </rPr>
      <t>N/A</t>
    </r>
  </si>
  <si>
    <r>
      <rPr>
        <b/>
        <sz val="11"/>
        <rFont val="Calibri"/>
        <family val="2"/>
      </rPr>
      <t>TOTAL PRICE</t>
    </r>
    <r>
      <rPr>
        <b/>
        <sz val="11"/>
        <rFont val="Calibri"/>
      </rPr>
      <t xml:space="preserve"> IN USD</t>
    </r>
  </si>
  <si>
    <r>
      <rPr>
        <b/>
        <sz val="11"/>
        <rFont val="Calibri"/>
        <family val="2"/>
      </rPr>
      <t>UNIT PRICE</t>
    </r>
    <r>
      <rPr>
        <b/>
        <sz val="11"/>
        <rFont val="Calibri"/>
      </rPr>
      <t xml:space="preserve"> USC/LB</t>
    </r>
  </si>
  <si>
    <t>NET</t>
  </si>
  <si>
    <t>QUANTITY IN LB</t>
  </si>
  <si>
    <t>QUANTITY IN KG</t>
  </si>
  <si>
    <t>GROSS</t>
  </si>
  <si>
    <t>PACKAGES IN BAGS</t>
  </si>
  <si>
    <t>FULL MARKING</t>
  </si>
  <si>
    <t>Voyage NO:</t>
  </si>
  <si>
    <t>ECCSA - Certificate of Origin Number</t>
  </si>
  <si>
    <t>Seal Number</t>
  </si>
  <si>
    <t>No. of Packages</t>
  </si>
  <si>
    <r>
      <rPr>
        <b/>
        <sz val="11"/>
        <rFont val="Calibri"/>
        <family val="2"/>
      </rPr>
      <t xml:space="preserve">
</t>
    </r>
    <r>
      <rPr>
        <sz val="11"/>
        <rFont val="Calibri"/>
        <family val="2"/>
      </rPr>
      <t>2022-10-03</t>
    </r>
  </si>
  <si>
    <t>Total Number Weight (MT)</t>
  </si>
  <si>
    <r>
      <rPr>
        <b/>
        <sz val="11"/>
        <rFont val="Calibri"/>
        <family val="2"/>
      </rPr>
      <t>Grand Total</t>
    </r>
    <r>
      <rPr>
        <b/>
        <sz val="11"/>
        <rFont val="Calibri"/>
      </rPr>
      <t>:</t>
    </r>
  </si>
  <si>
    <t>Acc. No:</t>
  </si>
  <si>
    <t>Transitor</t>
  </si>
  <si>
    <t xml:space="preserve">Add Column </t>
  </si>
  <si>
    <t>Staffing Instruction &amp; Report</t>
  </si>
  <si>
    <t>Final Staffing Report</t>
  </si>
  <si>
    <t>Move to booking&amp; Processing</t>
  </si>
  <si>
    <t>UNWASHED DJIMMAH</t>
  </si>
  <si>
    <t>Driver Phone No. (DJIBOUTI)</t>
  </si>
  <si>
    <t>VESSEL</t>
  </si>
  <si>
    <t xml:space="preserve">Consignee
</t>
  </si>
  <si>
    <t>Applicant/Notify</t>
  </si>
  <si>
    <t>Signatory Company</t>
  </si>
  <si>
    <t>Name of Authorized Signatory</t>
  </si>
  <si>
    <t>ZELALEM CHALACHEW AMSALU</t>
  </si>
  <si>
    <t>ABEBE DEJENE</t>
  </si>
  <si>
    <t>0911138271</t>
  </si>
  <si>
    <t>+253 77398162</t>
  </si>
  <si>
    <t>05-R008141</t>
  </si>
  <si>
    <t>MSDU121638/1</t>
  </si>
  <si>
    <t>EU27646310</t>
  </si>
  <si>
    <t>GUNA TRADING COFFEE PROCESSING</t>
  </si>
  <si>
    <t>ADDIS ABABA - ETHIOPIA</t>
  </si>
  <si>
    <t>3 ET-03098</t>
  </si>
  <si>
    <t>PRAXIS  INTERNATIONAL BUSINESS PLC</t>
  </si>
  <si>
    <t>NIFAS SILK LAFTO SUB CITY, WOREDA 
08, HOUSE NO 1986, ADDIS ABABA, ETHIOPIA.</t>
  </si>
  <si>
    <t>ፕራክሲስ ኢንተርናሽናል ቢዝነስ ኅ/የ/የግ/ማህበር</t>
  </si>
  <si>
    <t>Verification date:</t>
  </si>
  <si>
    <t>Date of Issue</t>
  </si>
  <si>
    <t>FIVE(5)</t>
  </si>
  <si>
    <t>PREPAID</t>
  </si>
  <si>
    <t>COLLECT</t>
  </si>
  <si>
    <t>PREPAID FOR DOCUMENTATION</t>
  </si>
  <si>
    <t>coffee@praxis.com.et</t>
  </si>
  <si>
    <t>09011100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</si>
</sst>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0;###0"/>
    <numFmt numFmtId="165" formatCode="dd/mm/yyyy;@"/>
    <numFmt numFmtId="166" formatCode="###00000000;###00000000"/>
    <numFmt numFmtId="167" formatCode="###0.00;###0.00"/>
    <numFmt numFmtId="168" formatCode="#,##0.00;#,##0.00"/>
    <numFmt numFmtId="169" formatCode="###0000;###0000"/>
    <numFmt numFmtId="170" formatCode="#,##0;#,##0"/>
    <numFmt numFmtId="171" formatCode="0,000.00"/>
    <numFmt numFmtId="172" formatCode="[$-409]mmmm\-yy;@"/>
    <numFmt numFmtId="173" formatCode="00##;0###"/>
    <numFmt numFmtId="174" formatCode="00##"/>
  </numFmts>
  <fonts count="147">
    <font>
      <sz val="11"/>
      <color theme="1"/>
      <name val="Calibri"/>
      <family val="2"/>
      <scheme val="minor"/>
    </font>
    <font>
      <b/>
      <sz val="11"/>
      <color theme="1"/>
      <name val="Calibri"/>
      <family val="2"/>
      <scheme val="minor"/>
    </font>
    <font>
      <b/>
      <sz val="14"/>
      <color theme="1"/>
      <name val="Calibri"/>
      <family val="2"/>
      <scheme val="minor"/>
    </font>
    <font>
      <sz val="10"/>
      <name val="Cambria"/>
      <family val="1"/>
    </font>
    <font>
      <u/>
      <sz val="10"/>
      <name val="Cambria"/>
      <family val="1"/>
    </font>
    <font>
      <b/>
      <sz val="10"/>
      <name val="Cambria"/>
      <family val="1"/>
    </font>
    <font>
      <sz val="10"/>
      <name val="Times New Roman"/>
      <family val="1"/>
    </font>
    <font>
      <sz val="10"/>
      <color rgb="FF000000"/>
      <name val="Cambria"/>
      <family val="2"/>
    </font>
    <font>
      <b/>
      <sz val="10"/>
      <name val="Times New Roman"/>
      <family val="1"/>
    </font>
    <font>
      <sz val="10"/>
      <color rgb="FF000000"/>
      <name val="Times New Roman"/>
      <family val="2"/>
    </font>
    <font>
      <b/>
      <sz val="9"/>
      <name val="Times New Roman"/>
      <family val="1"/>
    </font>
    <font>
      <sz val="9"/>
      <name val="Times New Roman"/>
      <family val="1"/>
    </font>
    <font>
      <u/>
      <sz val="9"/>
      <name val="Times New Roman"/>
      <family val="1"/>
    </font>
    <font>
      <b/>
      <sz val="9"/>
      <name val="Bahnschrift SemiBold"/>
      <family val="2"/>
    </font>
    <font>
      <b/>
      <sz val="10"/>
      <name val="Bahnschrift SemiBold"/>
      <family val="2"/>
    </font>
    <font>
      <sz val="11"/>
      <name val="Times New Roman"/>
      <family val="1"/>
    </font>
    <font>
      <b/>
      <u/>
      <sz val="12"/>
      <name val="Times New Roman"/>
      <family val="1"/>
    </font>
    <font>
      <b/>
      <sz val="12"/>
      <name val="Times New Roman"/>
      <family val="1"/>
    </font>
    <font>
      <b/>
      <sz val="7"/>
      <name val="Times New Roman"/>
      <family val="1"/>
    </font>
    <font>
      <b/>
      <sz val="9"/>
      <color rgb="FF000000"/>
      <name val="Times New Roman"/>
      <family val="2"/>
    </font>
    <font>
      <b/>
      <sz val="12"/>
      <color theme="1"/>
      <name val="Calibri"/>
      <family val="2"/>
      <scheme val="minor"/>
    </font>
    <font>
      <u/>
      <sz val="20"/>
      <name val="Britannic Bold"/>
      <family val="2"/>
    </font>
    <font>
      <b/>
      <sz val="11"/>
      <name val="Cambria"/>
      <family val="1"/>
    </font>
    <font>
      <sz val="11"/>
      <name val="Cambria"/>
      <family val="1"/>
    </font>
    <font>
      <sz val="11"/>
      <color rgb="FF000000"/>
      <name val="Cambria"/>
      <family val="2"/>
    </font>
    <font>
      <b/>
      <sz val="12"/>
      <name val="Cambria"/>
      <family val="1"/>
    </font>
    <font>
      <sz val="12"/>
      <color rgb="FF000000"/>
      <name val="Times New Roman"/>
      <family val="2"/>
    </font>
    <font>
      <b/>
      <sz val="11"/>
      <name val="Times New Roman"/>
      <family val="1"/>
    </font>
    <font>
      <sz val="11"/>
      <color theme="1"/>
      <name val="Calibri"/>
      <family val="2"/>
      <scheme val="minor"/>
    </font>
    <font>
      <b/>
      <u/>
      <sz val="14"/>
      <color theme="1"/>
      <name val="Calibri"/>
      <family val="2"/>
      <scheme val="minor"/>
    </font>
    <font>
      <sz val="12"/>
      <name val="Ebrima"/>
    </font>
    <font>
      <sz val="12"/>
      <name val="Courier New"/>
      <family val="3"/>
    </font>
    <font>
      <u/>
      <sz val="14"/>
      <name val="Ebrima"/>
    </font>
    <font>
      <sz val="14"/>
      <name val="Courier New"/>
      <family val="3"/>
    </font>
    <font>
      <sz val="14"/>
      <name val="Ebrima"/>
    </font>
    <font>
      <sz val="11"/>
      <name val="Ebrima"/>
    </font>
    <font>
      <sz val="11"/>
      <color rgb="FF000000"/>
      <name val="Times New Roman"/>
      <family val="2"/>
    </font>
    <font>
      <b/>
      <sz val="11"/>
      <name val="Bahnschrift SemiBold"/>
      <family val="2"/>
    </font>
    <font>
      <sz val="12"/>
      <name val="Calibri"/>
      <family val="2"/>
    </font>
    <font>
      <u/>
      <sz val="12"/>
      <name val="Calibri"/>
      <family val="2"/>
    </font>
    <font>
      <u/>
      <sz val="16"/>
      <name val="Britannic Bold"/>
    </font>
    <font>
      <u/>
      <sz val="16"/>
      <name val="Britannic Bold"/>
      <family val="2"/>
    </font>
    <font>
      <sz val="12"/>
      <name val="Cambria"/>
      <family val="1"/>
    </font>
    <font>
      <sz val="11"/>
      <name val="Cambria"/>
    </font>
    <font>
      <sz val="12"/>
      <name val="Times New Roman"/>
      <family val="1"/>
    </font>
    <font>
      <sz val="11"/>
      <name val="Calibri"/>
      <family val="2"/>
    </font>
    <font>
      <b/>
      <sz val="11"/>
      <name val="Cambria"/>
    </font>
    <font>
      <b/>
      <sz val="9"/>
      <name val="Times New Roman"/>
    </font>
    <font>
      <b/>
      <sz val="10"/>
      <name val="Calibri"/>
    </font>
    <font>
      <b/>
      <sz val="10"/>
      <name val="Calibri"/>
      <family val="2"/>
    </font>
    <font>
      <b/>
      <sz val="9"/>
      <name val="Bahnschrift SemiBold"/>
    </font>
    <font>
      <b/>
      <sz val="10"/>
      <name val="Bahnschrift SemiBold"/>
    </font>
    <font>
      <sz val="11"/>
      <color theme="1"/>
      <name val="Times New Roman"/>
      <family val="1"/>
    </font>
    <font>
      <sz val="11"/>
      <name val="Calibri"/>
      <family val="1"/>
    </font>
    <font>
      <sz val="12"/>
      <name val="Calibri"/>
      <family val="1"/>
    </font>
    <font>
      <u/>
      <sz val="16"/>
      <name val="Times New Roman"/>
      <family val="1"/>
    </font>
    <font>
      <sz val="11"/>
      <name val="Arial"/>
      <family val="2"/>
    </font>
    <font>
      <sz val="12"/>
      <color rgb="FF000000"/>
      <name val="Calibri"/>
      <family val="2"/>
    </font>
    <font>
      <sz val="12"/>
      <color rgb="FF000000"/>
      <name val="Cambria"/>
      <family val="2"/>
    </font>
    <font>
      <b/>
      <sz val="14"/>
      <name val="Times New Roman"/>
      <family val="1"/>
    </font>
    <font>
      <u/>
      <sz val="11"/>
      <name val="Times New Roman"/>
      <family val="1"/>
    </font>
    <font>
      <b/>
      <sz val="14"/>
      <name val="Calibri"/>
      <family val="2"/>
    </font>
    <font>
      <b/>
      <sz val="11"/>
      <name val="Ebrima"/>
    </font>
    <font>
      <sz val="10"/>
      <color rgb="FF000000"/>
      <name val="Times New Roman"/>
      <family val="1"/>
    </font>
    <font>
      <b/>
      <sz val="9"/>
      <color rgb="FF005291"/>
      <name val="Times New Roman"/>
      <family val="1"/>
    </font>
    <font>
      <b/>
      <sz val="10"/>
      <color rgb="FF000000"/>
      <name val="Cambria"/>
      <family val="2"/>
    </font>
    <font>
      <b/>
      <sz val="10"/>
      <color rgb="FF005291"/>
      <name val="Times New Roman"/>
      <family val="1"/>
    </font>
    <font>
      <b/>
      <sz val="12"/>
      <color rgb="FF005291"/>
      <name val="Times New Roman"/>
      <family val="1"/>
    </font>
    <font>
      <b/>
      <sz val="10"/>
      <color theme="1"/>
      <name val="Calibri"/>
      <family val="2"/>
      <scheme val="minor"/>
    </font>
    <font>
      <sz val="9"/>
      <color theme="1"/>
      <name val="Calibri"/>
      <family val="2"/>
      <scheme val="minor"/>
    </font>
    <font>
      <sz val="10"/>
      <name val="Arial"/>
      <family val="2"/>
    </font>
    <font>
      <b/>
      <sz val="10"/>
      <color theme="1"/>
      <name val="Arial"/>
      <family val="2"/>
    </font>
    <font>
      <b/>
      <sz val="10"/>
      <color theme="1"/>
      <name val="Courier New"/>
      <family val="3"/>
    </font>
    <font>
      <b/>
      <sz val="10"/>
      <name val="Arial"/>
      <family val="2"/>
    </font>
    <font>
      <b/>
      <sz val="9"/>
      <color theme="1"/>
      <name val="Arial"/>
      <family val="2"/>
    </font>
    <font>
      <b/>
      <sz val="11"/>
      <color theme="1"/>
      <name val="Arial"/>
      <family val="2"/>
    </font>
    <font>
      <b/>
      <sz val="7"/>
      <color theme="1"/>
      <name val="Times New Roman"/>
      <family val="1"/>
    </font>
    <font>
      <b/>
      <sz val="8"/>
      <color theme="1"/>
      <name val="Times New Roman"/>
      <family val="1"/>
    </font>
    <font>
      <b/>
      <sz val="9"/>
      <color theme="1"/>
      <name val="Times New Roman"/>
      <family val="1"/>
    </font>
    <font>
      <b/>
      <sz val="11"/>
      <color theme="1"/>
      <name val="Times New Roman"/>
      <family val="1"/>
    </font>
    <font>
      <b/>
      <sz val="10"/>
      <color rgb="FF000000"/>
      <name val="Courier New"/>
      <family val="3"/>
    </font>
    <font>
      <b/>
      <sz val="10"/>
      <color theme="0"/>
      <name val="Arial"/>
      <family val="2"/>
    </font>
    <font>
      <sz val="11"/>
      <color theme="1"/>
      <name val="Arial"/>
      <family val="2"/>
    </font>
    <font>
      <b/>
      <sz val="10"/>
      <color theme="1"/>
      <name val="Times New Roman"/>
      <family val="1"/>
    </font>
    <font>
      <sz val="10"/>
      <color theme="1"/>
      <name val="Times New Roman"/>
      <family val="1"/>
    </font>
    <font>
      <sz val="11"/>
      <color theme="1"/>
      <name val="Courier New"/>
      <family val="3"/>
    </font>
    <font>
      <sz val="10"/>
      <color theme="1"/>
      <name val="Arial"/>
      <family val="2"/>
    </font>
    <font>
      <sz val="10"/>
      <color theme="1"/>
      <name val="Courier New"/>
      <family val="3"/>
    </font>
    <font>
      <sz val="8"/>
      <color theme="1"/>
      <name val="Arial"/>
      <family val="2"/>
    </font>
    <font>
      <b/>
      <sz val="12"/>
      <color theme="1"/>
      <name val="Bahnschrift SemiBold"/>
      <family val="2"/>
    </font>
    <font>
      <b/>
      <sz val="10"/>
      <color rgb="FF000000"/>
      <name val="Times New Roman"/>
      <family val="1"/>
    </font>
    <font>
      <sz val="11"/>
      <color rgb="FF000000"/>
      <name val="Times New Roman"/>
      <family val="1"/>
    </font>
    <font>
      <sz val="10"/>
      <color rgb="FF000000"/>
      <name val="Times New Roman"/>
      <charset val="204"/>
    </font>
    <font>
      <b/>
      <sz val="12"/>
      <name val="Calibri"/>
    </font>
    <font>
      <sz val="9"/>
      <name val="Times New Roman"/>
    </font>
    <font>
      <b/>
      <sz val="12"/>
      <name val="Times New Roman"/>
    </font>
    <font>
      <b/>
      <sz val="12"/>
      <name val="Cambria"/>
    </font>
    <font>
      <u/>
      <sz val="10"/>
      <name val="Calibri"/>
      <family val="2"/>
    </font>
    <font>
      <u/>
      <sz val="18"/>
      <name val="Britannic Bold"/>
    </font>
    <font>
      <u/>
      <sz val="18"/>
      <name val="Britannic Bold"/>
      <family val="2"/>
    </font>
    <font>
      <b/>
      <sz val="14"/>
      <color rgb="FF000000"/>
      <name val="Power Geez Unicode1"/>
    </font>
    <font>
      <b/>
      <sz val="14"/>
      <color rgb="FF000000"/>
      <name val="Cambria"/>
      <family val="1"/>
    </font>
    <font>
      <b/>
      <sz val="12"/>
      <color rgb="FF000000"/>
      <name val="Times New Roman"/>
      <family val="1"/>
    </font>
    <font>
      <sz val="11"/>
      <color rgb="FF000000"/>
      <name val="Power Geez Unicode1"/>
    </font>
    <font>
      <b/>
      <sz val="16"/>
      <name val="Cambria"/>
      <family val="1"/>
    </font>
    <font>
      <b/>
      <sz val="12"/>
      <name val="Ebrima"/>
    </font>
    <font>
      <b/>
      <u/>
      <sz val="12"/>
      <name val="Cambria"/>
      <family val="1"/>
    </font>
    <font>
      <sz val="10"/>
      <color rgb="FF000000"/>
      <name val="Power Geez Unicode1"/>
    </font>
    <font>
      <sz val="12"/>
      <color rgb="FF000000"/>
      <name val="Times New Roman"/>
      <family val="1"/>
    </font>
    <font>
      <b/>
      <sz val="14"/>
      <name val="Ebrima"/>
    </font>
    <font>
      <b/>
      <sz val="14"/>
      <name val="Cambria"/>
      <family val="1"/>
    </font>
    <font>
      <sz val="11"/>
      <name val="SimSun"/>
    </font>
    <font>
      <sz val="11"/>
      <name val="Times New Roman"/>
      <family val="1"/>
      <charset val="204"/>
    </font>
    <font>
      <b/>
      <sz val="18"/>
      <color theme="1"/>
      <name val="Calibri"/>
      <family val="2"/>
      <scheme val="minor"/>
    </font>
    <font>
      <b/>
      <sz val="9"/>
      <color rgb="FF000000"/>
      <name val="Times New Roman"/>
      <family val="1"/>
    </font>
    <font>
      <u/>
      <sz val="10"/>
      <color rgb="FF000000"/>
      <name val="Times New Roman"/>
      <family val="1"/>
    </font>
    <font>
      <sz val="10"/>
      <name val="Times New Roman"/>
    </font>
    <font>
      <sz val="10"/>
      <name val="Cambria"/>
    </font>
    <font>
      <b/>
      <sz val="10"/>
      <name val="Cambria"/>
    </font>
    <font>
      <b/>
      <sz val="10"/>
      <name val="Times New Roman"/>
    </font>
    <font>
      <u/>
      <sz val="20"/>
      <name val="Britannic Bold"/>
    </font>
    <font>
      <sz val="12"/>
      <color theme="1"/>
      <name val="Calibri"/>
      <family val="2"/>
      <scheme val="minor"/>
    </font>
    <font>
      <sz val="12"/>
      <color theme="1"/>
      <name val="Times New Roman"/>
      <family val="1"/>
    </font>
    <font>
      <u/>
      <sz val="12"/>
      <color theme="1"/>
      <name val="Times New Roman"/>
      <family val="1"/>
    </font>
    <font>
      <b/>
      <sz val="12"/>
      <color theme="1"/>
      <name val="Times New Roman"/>
      <family val="1"/>
    </font>
    <font>
      <sz val="14"/>
      <name val="Times New Roman"/>
      <family val="1"/>
    </font>
    <font>
      <u/>
      <sz val="11"/>
      <color theme="10"/>
      <name val="Calibri"/>
      <family val="2"/>
      <scheme val="minor"/>
    </font>
    <font>
      <b/>
      <sz val="16"/>
      <color theme="1"/>
      <name val="Calibri"/>
      <family val="2"/>
      <scheme val="minor"/>
    </font>
    <font>
      <u/>
      <sz val="11"/>
      <name val="Cambria"/>
      <family val="1"/>
    </font>
    <font>
      <u/>
      <sz val="20"/>
      <color theme="1"/>
      <name val="Britannic Bold"/>
      <family val="2"/>
    </font>
    <font>
      <b/>
      <sz val="16"/>
      <color theme="1"/>
      <name val="Cambria"/>
      <family val="1"/>
    </font>
    <font>
      <b/>
      <sz val="12"/>
      <color theme="1"/>
      <name val="Ebrima"/>
    </font>
    <font>
      <b/>
      <u/>
      <sz val="12"/>
      <color theme="1"/>
      <name val="Cambria"/>
      <family val="1"/>
    </font>
    <font>
      <b/>
      <sz val="12"/>
      <name val="Calibri"/>
      <family val="2"/>
    </font>
    <font>
      <b/>
      <sz val="11"/>
      <name val="Calibri"/>
    </font>
    <font>
      <b/>
      <sz val="11"/>
      <name val="Calibri"/>
      <family val="2"/>
    </font>
    <font>
      <sz val="11"/>
      <name val="Calibri"/>
    </font>
    <font>
      <sz val="11"/>
      <color rgb="FF000000"/>
      <name val="Calibri"/>
      <family val="2"/>
    </font>
    <font>
      <b/>
      <u/>
      <sz val="11"/>
      <name val="Calibri"/>
      <family val="2"/>
    </font>
    <font>
      <sz val="9"/>
      <name val="Times New Roman"/>
      <family val="2"/>
      <charset val="204"/>
    </font>
    <font>
      <sz val="9"/>
      <name val="Calibri"/>
      <family val="2"/>
    </font>
    <font>
      <b/>
      <sz val="9"/>
      <name val="Calibri"/>
      <family val="2"/>
    </font>
    <font>
      <b/>
      <sz val="11"/>
      <name val="Bahnschrift SemiBold"/>
    </font>
    <font>
      <b/>
      <sz val="11"/>
      <color rgb="FF000000"/>
      <name val="Calibri"/>
      <family val="2"/>
    </font>
    <font>
      <sz val="10"/>
      <name val="Calibri"/>
      <family val="2"/>
    </font>
    <font>
      <b/>
      <sz val="11"/>
      <color rgb="FF000000"/>
      <name val="Calibri"/>
      <family val="2"/>
      <scheme val="minor"/>
    </font>
    <font>
      <sz val="11"/>
      <color theme="1"/>
      <name val="Cambria"/>
      <family val="1"/>
    </font>
  </fonts>
  <fills count="8">
    <fill>
      <patternFill patternType="none"/>
    </fill>
    <fill>
      <patternFill patternType="gray125"/>
    </fill>
    <fill>
      <patternFill patternType="solid">
        <fgColor theme="0" tint="-0.249977111117893"/>
        <bgColor indexed="64"/>
      </patternFill>
    </fill>
    <fill>
      <patternFill patternType="solid">
        <fgColor theme="4" tint="0.79998168889431442"/>
        <bgColor indexed="64"/>
      </patternFill>
    </fill>
    <fill>
      <patternFill patternType="solid">
        <fgColor theme="0"/>
        <bgColor indexed="64"/>
      </patternFill>
    </fill>
    <fill>
      <patternFill patternType="solid">
        <fgColor theme="0" tint="-0.34998626667073579"/>
        <bgColor indexed="64"/>
      </patternFill>
    </fill>
    <fill>
      <patternFill patternType="solid">
        <fgColor theme="0" tint="-0.499984740745262"/>
        <bgColor indexed="64"/>
      </patternFill>
    </fill>
    <fill>
      <patternFill patternType="solid">
        <fgColor rgb="FFFF0000"/>
        <bgColor indexed="64"/>
      </patternFill>
    </fill>
  </fills>
  <borders count="126">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style="thin">
        <color rgb="FF000000"/>
      </right>
      <top/>
      <bottom/>
      <diagonal/>
    </border>
    <border>
      <left style="thin">
        <color rgb="FF000000"/>
      </left>
      <right/>
      <top style="thin">
        <color rgb="FF0000FF"/>
      </top>
      <bottom style="thin">
        <color rgb="FF000000"/>
      </bottom>
      <diagonal/>
    </border>
    <border>
      <left/>
      <right style="thin">
        <color rgb="FF000000"/>
      </right>
      <top style="thin">
        <color rgb="FF0000FF"/>
      </top>
      <bottom style="thin">
        <color rgb="FF000000"/>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diagonal/>
    </border>
    <border>
      <left style="medium">
        <color indexed="64"/>
      </left>
      <right style="medium">
        <color indexed="64"/>
      </right>
      <top/>
      <bottom style="thin">
        <color indexed="64"/>
      </bottom>
      <diagonal/>
    </border>
    <border>
      <left/>
      <right style="thin">
        <color indexed="64"/>
      </right>
      <top style="thin">
        <color rgb="FF000000"/>
      </top>
      <bottom style="thin">
        <color rgb="FF000000"/>
      </bottom>
      <diagonal/>
    </border>
    <border>
      <left/>
      <right style="thin">
        <color indexed="64"/>
      </right>
      <top/>
      <bottom style="thin">
        <color rgb="FF000000"/>
      </bottom>
      <diagonal/>
    </border>
    <border>
      <left/>
      <right style="thin">
        <color indexed="64"/>
      </right>
      <top/>
      <bottom/>
      <diagonal/>
    </border>
    <border>
      <left style="thin">
        <color rgb="FF000000"/>
      </left>
      <right/>
      <top/>
      <bottom/>
      <diagonal/>
    </border>
    <border>
      <left style="thin">
        <color rgb="FF000000"/>
      </left>
      <right style="thin">
        <color indexed="64"/>
      </right>
      <top/>
      <bottom/>
      <diagonal/>
    </border>
    <border>
      <left/>
      <right style="thin">
        <color rgb="FF000000"/>
      </right>
      <top style="thin">
        <color rgb="FF000000"/>
      </top>
      <bottom style="thin">
        <color indexed="64"/>
      </bottom>
      <diagonal/>
    </border>
    <border>
      <left/>
      <right/>
      <top style="thin">
        <color rgb="FF000000"/>
      </top>
      <bottom style="thin">
        <color indexed="64"/>
      </bottom>
      <diagonal/>
    </border>
    <border>
      <left style="thin">
        <color rgb="FF000000"/>
      </left>
      <right/>
      <top style="thin">
        <color rgb="FF000000"/>
      </top>
      <bottom style="thin">
        <color indexed="64"/>
      </bottom>
      <diagonal/>
    </border>
    <border>
      <left style="thin">
        <color rgb="FF000000"/>
      </left>
      <right style="thin">
        <color indexed="64"/>
      </right>
      <top style="thin">
        <color rgb="FF000000"/>
      </top>
      <bottom/>
      <diagonal/>
    </border>
    <border>
      <left/>
      <right style="medium">
        <color indexed="64"/>
      </right>
      <top/>
      <bottom style="thin">
        <color indexed="64"/>
      </bottom>
      <diagonal/>
    </border>
    <border>
      <left/>
      <right style="thin">
        <color rgb="FF000000"/>
      </right>
      <top/>
      <bottom/>
      <diagonal/>
    </border>
    <border>
      <left style="thin">
        <color indexed="64"/>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rgb="FF000000"/>
      </top>
      <bottom style="thin">
        <color rgb="FF000000"/>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style="thin">
        <color rgb="FF000000"/>
      </bottom>
      <diagonal/>
    </border>
    <border>
      <left/>
      <right style="thin">
        <color indexed="64"/>
      </right>
      <top style="thin">
        <color indexed="64"/>
      </top>
      <bottom style="thin">
        <color rgb="FF000000"/>
      </bottom>
      <diagonal/>
    </border>
    <border>
      <left/>
      <right style="thin">
        <color indexed="64"/>
      </right>
      <top style="thin">
        <color rgb="FF000000"/>
      </top>
      <bottom/>
      <diagonal/>
    </border>
    <border>
      <left/>
      <right style="thin">
        <color indexed="64"/>
      </right>
      <top style="thin">
        <color rgb="FF000000"/>
      </top>
      <bottom style="thin">
        <color indexed="64"/>
      </bottom>
      <diagonal/>
    </border>
    <border>
      <left style="thin">
        <color indexed="64"/>
      </left>
      <right/>
      <top style="thin">
        <color indexed="64"/>
      </top>
      <bottom style="thin">
        <color rgb="FF000000"/>
      </bottom>
      <diagonal/>
    </border>
    <border>
      <left style="thin">
        <color indexed="64"/>
      </left>
      <right/>
      <top style="thin">
        <color rgb="FF000000"/>
      </top>
      <bottom/>
      <diagonal/>
    </border>
    <border>
      <left style="thin">
        <color indexed="64"/>
      </left>
      <right style="thin">
        <color rgb="FF000000"/>
      </right>
      <top style="thin">
        <color rgb="FF000000"/>
      </top>
      <bottom style="thin">
        <color rgb="FF000000"/>
      </bottom>
      <diagonal/>
    </border>
    <border>
      <left style="thin">
        <color indexed="64"/>
      </left>
      <right style="thin">
        <color rgb="FF000000"/>
      </right>
      <top style="thin">
        <color rgb="FF000000"/>
      </top>
      <bottom style="thin">
        <color indexed="64"/>
      </bottom>
      <diagonal/>
    </border>
    <border>
      <left style="thin">
        <color indexed="64"/>
      </left>
      <right/>
      <top/>
      <bottom style="thin">
        <color rgb="FF000000"/>
      </bottom>
      <diagonal/>
    </border>
    <border>
      <left style="thin">
        <color indexed="64"/>
      </left>
      <right style="thin">
        <color indexed="64"/>
      </right>
      <top style="thin">
        <color indexed="64"/>
      </top>
      <bottom style="thin">
        <color rgb="FF000000"/>
      </bottom>
      <diagonal/>
    </border>
    <border>
      <left style="thin">
        <color indexed="64"/>
      </left>
      <right style="thin">
        <color indexed="64"/>
      </right>
      <top style="thin">
        <color rgb="FF000000"/>
      </top>
      <bottom style="thin">
        <color indexed="64"/>
      </bottom>
      <diagonal/>
    </border>
    <border>
      <left style="thin">
        <color rgb="FF000000"/>
      </left>
      <right/>
      <top style="medium">
        <color indexed="64"/>
      </top>
      <bottom style="thin">
        <color rgb="FF000000"/>
      </bottom>
      <diagonal/>
    </border>
    <border>
      <left/>
      <right/>
      <top style="medium">
        <color indexed="64"/>
      </top>
      <bottom style="thin">
        <color rgb="FF000000"/>
      </bottom>
      <diagonal/>
    </border>
    <border>
      <left style="thin">
        <color indexed="64"/>
      </left>
      <right/>
      <top style="thin">
        <color indexed="64"/>
      </top>
      <bottom/>
      <diagonal/>
    </border>
    <border>
      <left style="medium">
        <color indexed="64"/>
      </left>
      <right/>
      <top/>
      <bottom style="thin">
        <color rgb="FF000000"/>
      </bottom>
      <diagonal/>
    </border>
    <border>
      <left/>
      <right style="thin">
        <color rgb="FF000000"/>
      </right>
      <top/>
      <bottom style="medium">
        <color indexed="64"/>
      </bottom>
      <diagonal/>
    </border>
    <border>
      <left style="thin">
        <color rgb="FF000000"/>
      </left>
      <right/>
      <top style="thin">
        <color rgb="FF000000"/>
      </top>
      <bottom style="medium">
        <color indexed="64"/>
      </bottom>
      <diagonal/>
    </border>
    <border>
      <left/>
      <right/>
      <top style="thin">
        <color rgb="FF000000"/>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rgb="FF000000"/>
      </bottom>
      <diagonal/>
    </border>
    <border>
      <left/>
      <right style="medium">
        <color indexed="64"/>
      </right>
      <top style="medium">
        <color indexed="64"/>
      </top>
      <bottom style="thin">
        <color rgb="FF000000"/>
      </bottom>
      <diagonal/>
    </border>
    <border>
      <left style="medium">
        <color indexed="64"/>
      </left>
      <right/>
      <top style="thin">
        <color rgb="FF000000"/>
      </top>
      <bottom style="thin">
        <color rgb="FF000000"/>
      </bottom>
      <diagonal/>
    </border>
    <border>
      <left style="thin">
        <color rgb="FF000000"/>
      </left>
      <right style="medium">
        <color indexed="64"/>
      </right>
      <top style="thin">
        <color rgb="FF000000"/>
      </top>
      <bottom style="thin">
        <color rgb="FF000000"/>
      </bottom>
      <diagonal/>
    </border>
    <border>
      <left/>
      <right style="medium">
        <color indexed="64"/>
      </right>
      <top style="thin">
        <color rgb="FF000000"/>
      </top>
      <bottom style="thin">
        <color rgb="FF000000"/>
      </bottom>
      <diagonal/>
    </border>
    <border>
      <left style="medium">
        <color indexed="64"/>
      </left>
      <right/>
      <top style="thin">
        <color rgb="FF000000"/>
      </top>
      <bottom/>
      <diagonal/>
    </border>
    <border>
      <left/>
      <right style="medium">
        <color indexed="64"/>
      </right>
      <top style="thin">
        <color rgb="FF000000"/>
      </top>
      <bottom/>
      <diagonal/>
    </border>
    <border>
      <left/>
      <right/>
      <top style="thin">
        <color indexed="64"/>
      </top>
      <bottom/>
      <diagonal/>
    </border>
    <border>
      <left/>
      <right style="medium">
        <color indexed="64"/>
      </right>
      <top style="thin">
        <color indexed="64"/>
      </top>
      <bottom/>
      <diagonal/>
    </border>
    <border>
      <left/>
      <right style="medium">
        <color indexed="64"/>
      </right>
      <top style="thin">
        <color indexed="64"/>
      </top>
      <bottom style="thin">
        <color rgb="FF000000"/>
      </bottom>
      <diagonal/>
    </border>
    <border>
      <left/>
      <right style="medium">
        <color indexed="64"/>
      </right>
      <top style="thin">
        <color rgb="FF000000"/>
      </top>
      <bottom style="medium">
        <color indexed="64"/>
      </bottom>
      <diagonal/>
    </border>
    <border>
      <left/>
      <right style="thin">
        <color rgb="FF000000"/>
      </right>
      <top style="medium">
        <color indexed="64"/>
      </top>
      <bottom style="thin">
        <color rgb="FF000000"/>
      </bottom>
      <diagonal/>
    </border>
    <border>
      <left style="medium">
        <color indexed="64"/>
      </left>
      <right/>
      <top style="thin">
        <color rgb="FF000000"/>
      </top>
      <bottom style="medium">
        <color indexed="64"/>
      </bottom>
      <diagonal/>
    </border>
    <border>
      <left/>
      <right style="thin">
        <color rgb="FF000000"/>
      </right>
      <top style="thin">
        <color rgb="FF000000"/>
      </top>
      <bottom style="medium">
        <color indexed="64"/>
      </bottom>
      <diagonal/>
    </border>
    <border>
      <left/>
      <right style="medium">
        <color indexed="64"/>
      </right>
      <top/>
      <bottom style="thin">
        <color rgb="FF000000"/>
      </bottom>
      <diagonal/>
    </border>
    <border>
      <left style="thin">
        <color rgb="FF000000"/>
      </left>
      <right/>
      <top style="medium">
        <color indexed="64"/>
      </top>
      <bottom/>
      <diagonal/>
    </border>
    <border>
      <left style="thin">
        <color indexed="64"/>
      </left>
      <right/>
      <top/>
      <bottom style="medium">
        <color indexed="64"/>
      </bottom>
      <diagonal/>
    </border>
    <border>
      <left/>
      <right style="thin">
        <color rgb="FF000000"/>
      </right>
      <top style="medium">
        <color indexed="64"/>
      </top>
      <bottom style="medium">
        <color indexed="64"/>
      </bottom>
      <diagonal/>
    </border>
    <border>
      <left style="thin">
        <color rgb="FF000000"/>
      </left>
      <right/>
      <top style="medium">
        <color indexed="64"/>
      </top>
      <bottom style="medium">
        <color indexed="64"/>
      </bottom>
      <diagonal/>
    </border>
    <border>
      <left/>
      <right style="thin">
        <color indexed="64"/>
      </right>
      <top style="thin">
        <color indexed="64"/>
      </top>
      <bottom/>
      <diagonal/>
    </border>
    <border>
      <left style="medium">
        <color indexed="64"/>
      </left>
      <right/>
      <top style="thin">
        <color indexed="64"/>
      </top>
      <bottom/>
      <diagonal/>
    </border>
    <border>
      <left/>
      <right style="thin">
        <color indexed="64"/>
      </right>
      <top/>
      <bottom style="medium">
        <color indexed="64"/>
      </bottom>
      <diagonal/>
    </border>
    <border>
      <left style="thin">
        <color indexed="64"/>
      </left>
      <right style="thin">
        <color indexed="64"/>
      </right>
      <top/>
      <bottom/>
      <diagonal/>
    </border>
    <border>
      <left style="thin">
        <color indexed="64"/>
      </left>
      <right style="medium">
        <color indexed="64"/>
      </right>
      <top style="thin">
        <color indexed="64"/>
      </top>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thin">
        <color rgb="FF000000"/>
      </top>
      <bottom style="medium">
        <color indexed="64"/>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medium">
        <color indexed="64"/>
      </right>
      <top style="thin">
        <color indexed="64"/>
      </top>
      <bottom/>
      <diagonal/>
    </border>
    <border>
      <left style="thin">
        <color rgb="FF000000"/>
      </left>
      <right/>
      <top/>
      <bottom style="medium">
        <color indexed="64"/>
      </bottom>
      <diagonal/>
    </border>
    <border>
      <left style="thin">
        <color rgb="FF000000"/>
      </left>
      <right/>
      <top style="thin">
        <color indexed="64"/>
      </top>
      <bottom/>
      <diagonal/>
    </border>
  </borders>
  <cellStyleXfs count="8">
    <xf numFmtId="0" fontId="0" fillId="0" borderId="0"/>
    <xf numFmtId="44" fontId="28" fillId="0" borderId="0" applyFont="0" applyFill="0" applyBorder="0" applyAlignment="0" applyProtection="0"/>
    <xf numFmtId="43" fontId="28" fillId="0" borderId="0" applyFont="0" applyFill="0" applyBorder="0" applyAlignment="0" applyProtection="0"/>
    <xf numFmtId="0" fontId="63" fillId="0" borderId="0"/>
    <xf numFmtId="0" fontId="70" fillId="0" borderId="0"/>
    <xf numFmtId="0" fontId="92" fillId="0" borderId="0"/>
    <xf numFmtId="9" fontId="28" fillId="0" borderId="0" applyFont="0" applyFill="0" applyBorder="0" applyAlignment="0" applyProtection="0"/>
    <xf numFmtId="0" fontId="126" fillId="0" borderId="0" applyNumberFormat="0" applyFill="0" applyBorder="0" applyAlignment="0" applyProtection="0"/>
  </cellStyleXfs>
  <cellXfs count="1004">
    <xf numFmtId="0" fontId="0" fillId="0" borderId="0" xfId="0"/>
    <xf numFmtId="0" fontId="0" fillId="0" borderId="2" xfId="0" applyBorder="1"/>
    <xf numFmtId="0" fontId="1" fillId="2" borderId="1" xfId="0" applyFont="1" applyFill="1" applyBorder="1" applyAlignment="1">
      <alignment horizontal="right"/>
    </xf>
    <xf numFmtId="0" fontId="0" fillId="0" borderId="3" xfId="0" applyBorder="1"/>
    <xf numFmtId="0" fontId="0" fillId="0" borderId="4" xfId="0" applyBorder="1"/>
    <xf numFmtId="0" fontId="0" fillId="0" borderId="5" xfId="0" applyBorder="1"/>
    <xf numFmtId="0" fontId="0" fillId="0" borderId="10" xfId="0" applyBorder="1"/>
    <xf numFmtId="0" fontId="1" fillId="0" borderId="11" xfId="0" applyFont="1" applyBorder="1"/>
    <xf numFmtId="0" fontId="0" fillId="0" borderId="0" xfId="0" applyAlignment="1">
      <alignment horizontal="left" vertical="top"/>
    </xf>
    <xf numFmtId="0" fontId="5" fillId="0" borderId="23" xfId="0" applyFont="1" applyBorder="1" applyAlignment="1">
      <alignment horizontal="left" vertical="top" wrapText="1"/>
    </xf>
    <xf numFmtId="0" fontId="13" fillId="0" borderId="0" xfId="0" applyFont="1" applyAlignment="1">
      <alignment horizontal="center" vertical="top"/>
    </xf>
    <xf numFmtId="0" fontId="14" fillId="0" borderId="0" xfId="0" applyFont="1" applyAlignment="1">
      <alignment horizontal="center" vertical="top"/>
    </xf>
    <xf numFmtId="0" fontId="0" fillId="0" borderId="0" xfId="0" applyAlignment="1">
      <alignment horizontal="center" vertical="top"/>
    </xf>
    <xf numFmtId="0" fontId="15" fillId="0" borderId="0" xfId="0" applyFont="1" applyAlignment="1">
      <alignment horizontal="left" vertical="top"/>
    </xf>
    <xf numFmtId="0" fontId="17" fillId="0" borderId="0" xfId="0" applyFont="1" applyAlignment="1">
      <alignment horizontal="left" vertical="top"/>
    </xf>
    <xf numFmtId="0" fontId="10" fillId="0" borderId="23" xfId="0" applyFont="1" applyBorder="1" applyAlignment="1">
      <alignment horizontal="left" vertical="top" wrapText="1"/>
    </xf>
    <xf numFmtId="0" fontId="0" fillId="0" borderId="23" xfId="0" applyBorder="1" applyAlignment="1">
      <alignment horizontal="left" vertical="top" wrapText="1"/>
    </xf>
    <xf numFmtId="0" fontId="1" fillId="0" borderId="0" xfId="0" applyFont="1" applyAlignment="1">
      <alignment horizontal="right"/>
    </xf>
    <xf numFmtId="0" fontId="0" fillId="0" borderId="1" xfId="0" applyBorder="1"/>
    <xf numFmtId="0" fontId="1" fillId="0" borderId="1" xfId="0" applyFont="1" applyBorder="1" applyAlignment="1">
      <alignment horizontal="right"/>
    </xf>
    <xf numFmtId="0" fontId="21" fillId="0" borderId="0" xfId="0" applyFont="1" applyAlignment="1">
      <alignment horizontal="left" vertical="top"/>
    </xf>
    <xf numFmtId="164" fontId="24" fillId="0" borderId="23" xfId="0" applyNumberFormat="1" applyFont="1" applyBorder="1" applyAlignment="1">
      <alignment horizontal="left" vertical="top" wrapText="1"/>
    </xf>
    <xf numFmtId="0" fontId="0" fillId="0" borderId="0" xfId="0" applyAlignment="1">
      <alignment horizontal="right"/>
    </xf>
    <xf numFmtId="0" fontId="0" fillId="0" borderId="13" xfId="0" applyBorder="1"/>
    <xf numFmtId="0" fontId="20" fillId="0" borderId="0" xfId="0" applyFont="1"/>
    <xf numFmtId="0" fontId="2" fillId="0" borderId="0" xfId="0" applyFont="1"/>
    <xf numFmtId="0" fontId="0" fillId="0" borderId="40" xfId="0" applyBorder="1" applyAlignment="1">
      <alignment horizontal="right"/>
    </xf>
    <xf numFmtId="0" fontId="0" fillId="0" borderId="6" xfId="0" applyBorder="1" applyAlignment="1">
      <alignment horizontal="right"/>
    </xf>
    <xf numFmtId="0" fontId="0" fillId="0" borderId="8" xfId="0" applyBorder="1" applyAlignment="1">
      <alignment horizontal="right"/>
    </xf>
    <xf numFmtId="0" fontId="0" fillId="0" borderId="43" xfId="0" applyBorder="1"/>
    <xf numFmtId="0" fontId="0" fillId="0" borderId="45" xfId="0" applyBorder="1"/>
    <xf numFmtId="0" fontId="0" fillId="0" borderId="47" xfId="0" applyBorder="1"/>
    <xf numFmtId="0" fontId="0" fillId="0" borderId="42" xfId="0" applyBorder="1"/>
    <xf numFmtId="0" fontId="0" fillId="0" borderId="44" xfId="0" applyBorder="1"/>
    <xf numFmtId="0" fontId="0" fillId="0" borderId="46" xfId="0" applyBorder="1"/>
    <xf numFmtId="0" fontId="1" fillId="0" borderId="1" xfId="0" applyFont="1" applyBorder="1"/>
    <xf numFmtId="0" fontId="1" fillId="0" borderId="2" xfId="0" applyFont="1" applyBorder="1"/>
    <xf numFmtId="0" fontId="0" fillId="0" borderId="38" xfId="0" applyBorder="1"/>
    <xf numFmtId="0" fontId="0" fillId="0" borderId="4" xfId="0" applyBorder="1" applyAlignment="1">
      <alignment wrapText="1"/>
    </xf>
    <xf numFmtId="0" fontId="0" fillId="0" borderId="5" xfId="0" applyBorder="1" applyAlignment="1">
      <alignment wrapText="1"/>
    </xf>
    <xf numFmtId="0" fontId="20" fillId="0" borderId="49" xfId="0" applyFont="1" applyBorder="1" applyAlignment="1">
      <alignment wrapText="1"/>
    </xf>
    <xf numFmtId="0" fontId="0" fillId="0" borderId="49" xfId="0" applyBorder="1" applyAlignment="1">
      <alignment wrapText="1"/>
    </xf>
    <xf numFmtId="0" fontId="1" fillId="0" borderId="0" xfId="0" applyFont="1"/>
    <xf numFmtId="0" fontId="29" fillId="0" borderId="0" xfId="0" applyFont="1"/>
    <xf numFmtId="0" fontId="34" fillId="0" borderId="0" xfId="0" applyFont="1" applyAlignment="1">
      <alignment horizontal="left" vertical="top"/>
    </xf>
    <xf numFmtId="0" fontId="37" fillId="0" borderId="0" xfId="0" applyFont="1" applyAlignment="1">
      <alignment horizontal="center" vertical="top"/>
    </xf>
    <xf numFmtId="0" fontId="30" fillId="0" borderId="0" xfId="0" applyFont="1" applyAlignment="1">
      <alignment horizontal="left" vertical="top"/>
    </xf>
    <xf numFmtId="0" fontId="0" fillId="0" borderId="6" xfId="0" applyBorder="1"/>
    <xf numFmtId="0" fontId="46" fillId="0" borderId="23" xfId="0" applyFont="1" applyBorder="1" applyAlignment="1">
      <alignment horizontal="left" vertical="top" wrapText="1"/>
    </xf>
    <xf numFmtId="0" fontId="47" fillId="0" borderId="23" xfId="0" applyFont="1" applyBorder="1" applyAlignment="1">
      <alignment horizontal="left" vertical="top" wrapText="1"/>
    </xf>
    <xf numFmtId="0" fontId="48" fillId="0" borderId="0" xfId="0" applyFont="1" applyAlignment="1">
      <alignment horizontal="left" vertical="top"/>
    </xf>
    <xf numFmtId="0" fontId="50" fillId="0" borderId="0" xfId="0" applyFont="1" applyAlignment="1">
      <alignment horizontal="center" vertical="top"/>
    </xf>
    <xf numFmtId="0" fontId="51" fillId="0" borderId="0" xfId="0" applyFont="1" applyAlignment="1">
      <alignment horizontal="center" vertical="top"/>
    </xf>
    <xf numFmtId="0" fontId="0" fillId="0" borderId="0" xfId="0" applyAlignment="1">
      <alignment vertical="top" wrapText="1"/>
    </xf>
    <xf numFmtId="0" fontId="23" fillId="0" borderId="0" xfId="0" applyFont="1" applyAlignment="1">
      <alignment horizontal="left" vertical="top"/>
    </xf>
    <xf numFmtId="0" fontId="20" fillId="0" borderId="0" xfId="0" applyFont="1" applyAlignment="1">
      <alignment horizontal="left" vertical="top"/>
    </xf>
    <xf numFmtId="0" fontId="40" fillId="0" borderId="0" xfId="0" applyFont="1" applyAlignment="1">
      <alignment horizontal="center" vertical="center"/>
    </xf>
    <xf numFmtId="168" fontId="58" fillId="0" borderId="23" xfId="0" applyNumberFormat="1" applyFont="1" applyBorder="1" applyAlignment="1">
      <alignment horizontal="left" vertical="center" wrapText="1"/>
    </xf>
    <xf numFmtId="170" fontId="58" fillId="0" borderId="23" xfId="0" applyNumberFormat="1" applyFont="1" applyBorder="1" applyAlignment="1">
      <alignment horizontal="left" vertical="top" wrapText="1"/>
    </xf>
    <xf numFmtId="0" fontId="49" fillId="0" borderId="0" xfId="0" applyFont="1" applyAlignment="1">
      <alignment horizontal="left" vertical="top"/>
    </xf>
    <xf numFmtId="0" fontId="0" fillId="0" borderId="0" xfId="0" applyAlignment="1">
      <alignment vertical="center"/>
    </xf>
    <xf numFmtId="0" fontId="0" fillId="0" borderId="23" xfId="0" applyBorder="1" applyAlignment="1">
      <alignment horizontal="center" vertical="top" wrapText="1"/>
    </xf>
    <xf numFmtId="0" fontId="0" fillId="0" borderId="23" xfId="0" applyBorder="1" applyAlignment="1">
      <alignment horizontal="center" vertical="center" wrapText="1"/>
    </xf>
    <xf numFmtId="0" fontId="59" fillId="0" borderId="0" xfId="0" applyFont="1" applyAlignment="1">
      <alignment horizontal="left" vertical="top"/>
    </xf>
    <xf numFmtId="0" fontId="61" fillId="0" borderId="0" xfId="0" applyFont="1" applyAlignment="1">
      <alignment horizontal="left" vertical="top"/>
    </xf>
    <xf numFmtId="0" fontId="44" fillId="0" borderId="0" xfId="0" applyFont="1" applyAlignment="1">
      <alignment horizontal="left" vertical="top"/>
    </xf>
    <xf numFmtId="0" fontId="16" fillId="0" borderId="0" xfId="0" applyFont="1" applyAlignment="1">
      <alignment horizontal="center" vertical="top"/>
    </xf>
    <xf numFmtId="0" fontId="63" fillId="0" borderId="0" xfId="3" applyAlignment="1">
      <alignment horizontal="left" vertical="top"/>
    </xf>
    <xf numFmtId="0" fontId="63" fillId="0" borderId="32" xfId="3" applyBorder="1" applyAlignment="1">
      <alignment horizontal="left" vertical="top"/>
    </xf>
    <xf numFmtId="0" fontId="63" fillId="0" borderId="25" xfId="3" applyBorder="1" applyAlignment="1">
      <alignment horizontal="left" vertical="top"/>
    </xf>
    <xf numFmtId="0" fontId="63" fillId="0" borderId="51" xfId="3" applyBorder="1" applyAlignment="1">
      <alignment horizontal="left" vertical="top"/>
    </xf>
    <xf numFmtId="0" fontId="63" fillId="0" borderId="31" xfId="3" applyBorder="1" applyAlignment="1">
      <alignment horizontal="left" vertical="top"/>
    </xf>
    <xf numFmtId="0" fontId="63" fillId="0" borderId="52" xfId="3" applyBorder="1" applyAlignment="1">
      <alignment horizontal="left" vertical="top"/>
    </xf>
    <xf numFmtId="0" fontId="63" fillId="0" borderId="53" xfId="3" applyBorder="1" applyAlignment="1">
      <alignment horizontal="left" vertical="top"/>
    </xf>
    <xf numFmtId="0" fontId="63" fillId="0" borderId="0" xfId="3" applyAlignment="1">
      <alignment horizontal="left"/>
    </xf>
    <xf numFmtId="0" fontId="63" fillId="0" borderId="52" xfId="3" applyBorder="1" applyAlignment="1">
      <alignment horizontal="left"/>
    </xf>
    <xf numFmtId="0" fontId="63" fillId="0" borderId="53" xfId="3" applyBorder="1" applyAlignment="1">
      <alignment horizontal="left"/>
    </xf>
    <xf numFmtId="0" fontId="63" fillId="0" borderId="52" xfId="3" applyBorder="1" applyAlignment="1">
      <alignment horizontal="left" vertical="top" wrapText="1"/>
    </xf>
    <xf numFmtId="0" fontId="63" fillId="0" borderId="0" xfId="3" applyAlignment="1">
      <alignment horizontal="left" vertical="top" wrapText="1"/>
    </xf>
    <xf numFmtId="0" fontId="64" fillId="0" borderId="53" xfId="3" applyFont="1" applyBorder="1" applyAlignment="1">
      <alignment horizontal="left" vertical="top" wrapText="1"/>
    </xf>
    <xf numFmtId="0" fontId="5" fillId="0" borderId="23" xfId="3" applyFont="1" applyBorder="1" applyAlignment="1">
      <alignment horizontal="left" vertical="top" wrapText="1"/>
    </xf>
    <xf numFmtId="0" fontId="63" fillId="0" borderId="23" xfId="3" applyBorder="1" applyAlignment="1">
      <alignment horizontal="left" vertical="top" wrapText="1"/>
    </xf>
    <xf numFmtId="164" fontId="65" fillId="0" borderId="24" xfId="3" applyNumberFormat="1" applyFont="1" applyBorder="1" applyAlignment="1">
      <alignment horizontal="left" vertical="top" wrapText="1"/>
    </xf>
    <xf numFmtId="0" fontId="8" fillId="0" borderId="23" xfId="3" applyFont="1" applyBorder="1" applyAlignment="1">
      <alignment horizontal="center" vertical="center" wrapText="1"/>
    </xf>
    <xf numFmtId="0" fontId="8" fillId="0" borderId="0" xfId="3" applyFont="1" applyAlignment="1">
      <alignment horizontal="left" vertical="top"/>
    </xf>
    <xf numFmtId="0" fontId="0" fillId="0" borderId="0" xfId="0" applyAlignment="1">
      <alignment vertical="top"/>
    </xf>
    <xf numFmtId="0" fontId="0" fillId="0" borderId="0" xfId="0" applyAlignment="1">
      <alignment horizontal="center" vertical="top" wrapText="1"/>
    </xf>
    <xf numFmtId="0" fontId="0" fillId="0" borderId="0" xfId="0" applyAlignment="1">
      <alignment horizontal="right" vertical="top"/>
    </xf>
    <xf numFmtId="14" fontId="0" fillId="0" borderId="0" xfId="0" applyNumberFormat="1" applyAlignment="1">
      <alignment horizontal="center"/>
    </xf>
    <xf numFmtId="0" fontId="0" fillId="0" borderId="0" xfId="0" applyAlignment="1">
      <alignment horizontal="left" vertical="center" wrapText="1"/>
    </xf>
    <xf numFmtId="3" fontId="0" fillId="0" borderId="0" xfId="0" applyNumberFormat="1" applyAlignment="1">
      <alignment horizontal="right" vertical="center" wrapText="1"/>
    </xf>
    <xf numFmtId="43" fontId="0" fillId="0" borderId="0" xfId="2" applyFont="1" applyAlignment="1">
      <alignment horizontal="center"/>
    </xf>
    <xf numFmtId="0" fontId="0" fillId="0" borderId="0" xfId="0" applyAlignment="1">
      <alignment wrapText="1"/>
    </xf>
    <xf numFmtId="0" fontId="0" fillId="0" borderId="0" xfId="0" applyAlignment="1">
      <alignment horizontal="left" vertical="top" wrapText="1"/>
    </xf>
    <xf numFmtId="0" fontId="71" fillId="0" borderId="0" xfId="4" applyFont="1"/>
    <xf numFmtId="0" fontId="72" fillId="4" borderId="0" xfId="4" applyFont="1" applyFill="1"/>
    <xf numFmtId="0" fontId="73" fillId="0" borderId="0" xfId="4" applyFont="1"/>
    <xf numFmtId="0" fontId="74" fillId="0" borderId="0" xfId="4" applyFont="1"/>
    <xf numFmtId="0" fontId="75" fillId="0" borderId="0" xfId="4" applyFont="1"/>
    <xf numFmtId="0" fontId="77" fillId="4" borderId="0" xfId="4" applyFont="1" applyFill="1" applyAlignment="1">
      <alignment wrapText="1"/>
    </xf>
    <xf numFmtId="0" fontId="78" fillId="4" borderId="0" xfId="4" applyFont="1" applyFill="1" applyAlignment="1">
      <alignment wrapText="1"/>
    </xf>
    <xf numFmtId="0" fontId="80" fillId="0" borderId="0" xfId="0" applyFont="1"/>
    <xf numFmtId="3" fontId="72" fillId="4" borderId="0" xfId="4" applyNumberFormat="1" applyFont="1" applyFill="1" applyAlignment="1">
      <alignment horizontal="left" vertical="top"/>
    </xf>
    <xf numFmtId="0" fontId="81" fillId="0" borderId="0" xfId="4" applyFont="1"/>
    <xf numFmtId="0" fontId="52" fillId="0" borderId="0" xfId="4" applyFont="1" applyAlignment="1">
      <alignment vertical="center"/>
    </xf>
    <xf numFmtId="0" fontId="52" fillId="0" borderId="0" xfId="4" applyFont="1"/>
    <xf numFmtId="0" fontId="82" fillId="0" borderId="0" xfId="4" applyFont="1"/>
    <xf numFmtId="0" fontId="70" fillId="0" borderId="0" xfId="4" applyAlignment="1">
      <alignment horizontal="left"/>
    </xf>
    <xf numFmtId="0" fontId="52" fillId="0" borderId="0" xfId="4" applyFont="1" applyAlignment="1">
      <alignment horizontal="left"/>
    </xf>
    <xf numFmtId="3" fontId="85" fillId="0" borderId="0" xfId="4" applyNumberFormat="1" applyFont="1" applyAlignment="1">
      <alignment horizontal="center" wrapText="1"/>
    </xf>
    <xf numFmtId="0" fontId="82" fillId="0" borderId="0" xfId="4" applyFont="1" applyAlignment="1">
      <alignment horizontal="left"/>
    </xf>
    <xf numFmtId="0" fontId="85" fillId="0" borderId="0" xfId="4" applyFont="1"/>
    <xf numFmtId="0" fontId="86" fillId="0" borderId="0" xfId="4" applyFont="1"/>
    <xf numFmtId="0" fontId="87" fillId="0" borderId="0" xfId="4" applyFont="1" applyAlignment="1">
      <alignment horizontal="center"/>
    </xf>
    <xf numFmtId="0" fontId="87" fillId="0" borderId="0" xfId="4" applyFont="1"/>
    <xf numFmtId="0" fontId="86" fillId="0" borderId="0" xfId="4" applyFont="1" applyAlignment="1">
      <alignment horizontal="center"/>
    </xf>
    <xf numFmtId="0" fontId="85" fillId="0" borderId="0" xfId="4" applyFont="1" applyAlignment="1">
      <alignment vertical="top" wrapText="1"/>
    </xf>
    <xf numFmtId="0" fontId="84" fillId="0" borderId="0" xfId="4" applyFont="1"/>
    <xf numFmtId="3" fontId="87" fillId="0" borderId="0" xfId="4" applyNumberFormat="1" applyFont="1" applyAlignment="1">
      <alignment horizontal="left"/>
    </xf>
    <xf numFmtId="14" fontId="89" fillId="0" borderId="0" xfId="4" applyNumberFormat="1" applyFont="1" applyAlignment="1">
      <alignment horizontal="left"/>
    </xf>
    <xf numFmtId="0" fontId="63" fillId="0" borderId="0" xfId="3" applyAlignment="1">
      <alignment horizontal="center" vertical="top"/>
    </xf>
    <xf numFmtId="0" fontId="14" fillId="0" borderId="0" xfId="3" applyFont="1" applyAlignment="1">
      <alignment horizontal="center" vertical="top"/>
    </xf>
    <xf numFmtId="0" fontId="13" fillId="0" borderId="0" xfId="3" applyFont="1" applyAlignment="1">
      <alignment horizontal="center" vertical="top"/>
    </xf>
    <xf numFmtId="0" fontId="3" fillId="0" borderId="0" xfId="3" applyFont="1" applyAlignment="1">
      <alignment horizontal="left" vertical="top"/>
    </xf>
    <xf numFmtId="0" fontId="22" fillId="0" borderId="0" xfId="3" applyFont="1" applyAlignment="1">
      <alignment horizontal="left" vertical="top"/>
    </xf>
    <xf numFmtId="0" fontId="0" fillId="5" borderId="1" xfId="0" applyFill="1" applyBorder="1"/>
    <xf numFmtId="0" fontId="15" fillId="0" borderId="0" xfId="3" applyFont="1" applyAlignment="1">
      <alignment horizontal="left" vertical="top"/>
    </xf>
    <xf numFmtId="0" fontId="90" fillId="0" borderId="0" xfId="3" applyFont="1" applyAlignment="1">
      <alignment horizontal="right" vertical="top"/>
    </xf>
    <xf numFmtId="0" fontId="90" fillId="0" borderId="0" xfId="3" applyFont="1" applyAlignment="1">
      <alignment horizontal="left" vertical="top"/>
    </xf>
    <xf numFmtId="0" fontId="23" fillId="0" borderId="0" xfId="3" applyFont="1" applyAlignment="1">
      <alignment horizontal="left" vertical="top"/>
    </xf>
    <xf numFmtId="0" fontId="62" fillId="0" borderId="0" xfId="3" applyFont="1" applyAlignment="1">
      <alignment horizontal="left" vertical="top"/>
    </xf>
    <xf numFmtId="0" fontId="5" fillId="0" borderId="0" xfId="3" applyFont="1" applyAlignment="1">
      <alignment horizontal="left" vertical="top"/>
    </xf>
    <xf numFmtId="0" fontId="0" fillId="0" borderId="39" xfId="0" applyBorder="1"/>
    <xf numFmtId="0" fontId="1" fillId="0" borderId="0" xfId="0" applyFont="1" applyAlignment="1">
      <alignment horizontal="right" vertical="center"/>
    </xf>
    <xf numFmtId="0" fontId="0" fillId="0" borderId="1" xfId="0" applyBorder="1" applyAlignment="1">
      <alignment wrapText="1"/>
    </xf>
    <xf numFmtId="17" fontId="0" fillId="0" borderId="1" xfId="0" applyNumberFormat="1" applyBorder="1"/>
    <xf numFmtId="1" fontId="0" fillId="0" borderId="39" xfId="0" applyNumberFormat="1" applyBorder="1"/>
    <xf numFmtId="44" fontId="0" fillId="0" borderId="0" xfId="0" applyNumberFormat="1" applyAlignment="1">
      <alignment horizontal="center"/>
    </xf>
    <xf numFmtId="0" fontId="0" fillId="0" borderId="0" xfId="0" applyAlignment="1">
      <alignment horizontal="center"/>
    </xf>
    <xf numFmtId="0" fontId="2" fillId="0" borderId="0" xfId="0" applyFont="1" applyAlignment="1">
      <alignment horizontal="center" vertical="center"/>
    </xf>
    <xf numFmtId="0" fontId="92" fillId="0" borderId="0" xfId="5" applyAlignment="1">
      <alignment horizontal="left" vertical="top"/>
    </xf>
    <xf numFmtId="0" fontId="93" fillId="0" borderId="0" xfId="5" applyFont="1" applyAlignment="1">
      <alignment horizontal="left" vertical="top"/>
    </xf>
    <xf numFmtId="0" fontId="94" fillId="0" borderId="0" xfId="5" applyFont="1" applyAlignment="1">
      <alignment horizontal="left" vertical="top"/>
    </xf>
    <xf numFmtId="0" fontId="46" fillId="0" borderId="23" xfId="5" applyFont="1" applyBorder="1" applyAlignment="1">
      <alignment horizontal="left" vertical="top" wrapText="1"/>
    </xf>
    <xf numFmtId="0" fontId="43" fillId="0" borderId="23" xfId="5" applyFont="1" applyBorder="1" applyAlignment="1">
      <alignment horizontal="left" vertical="top" wrapText="1"/>
    </xf>
    <xf numFmtId="0" fontId="95" fillId="0" borderId="23" xfId="5" applyFont="1" applyBorder="1" applyAlignment="1">
      <alignment horizontal="left" vertical="top" wrapText="1"/>
    </xf>
    <xf numFmtId="0" fontId="46" fillId="0" borderId="23" xfId="5" applyFont="1" applyBorder="1" applyAlignment="1">
      <alignment horizontal="left" vertical="center" wrapText="1"/>
    </xf>
    <xf numFmtId="0" fontId="4" fillId="0" borderId="0" xfId="5" applyFont="1" applyAlignment="1">
      <alignment horizontal="left" vertical="top"/>
    </xf>
    <xf numFmtId="0" fontId="97" fillId="0" borderId="0" xfId="5" applyFont="1" applyAlignment="1">
      <alignment horizontal="left" vertical="top"/>
    </xf>
    <xf numFmtId="0" fontId="0" fillId="0" borderId="1" xfId="0" applyBorder="1" applyAlignment="1">
      <alignment horizontal="left"/>
    </xf>
    <xf numFmtId="0" fontId="0" fillId="0" borderId="1" xfId="0" applyBorder="1" applyAlignment="1">
      <alignment horizontal="right" indent="2"/>
    </xf>
    <xf numFmtId="172" fontId="0" fillId="0" borderId="1" xfId="0" applyNumberFormat="1" applyBorder="1" applyAlignment="1">
      <alignment horizontal="left"/>
    </xf>
    <xf numFmtId="0" fontId="0" fillId="2" borderId="39" xfId="0" applyFill="1" applyBorder="1"/>
    <xf numFmtId="0" fontId="0" fillId="2" borderId="38" xfId="0" applyFill="1" applyBorder="1"/>
    <xf numFmtId="0" fontId="0" fillId="0" borderId="16" xfId="0" applyBorder="1"/>
    <xf numFmtId="0" fontId="0" fillId="0" borderId="22" xfId="0" applyBorder="1"/>
    <xf numFmtId="0" fontId="0" fillId="0" borderId="49" xfId="0" applyBorder="1"/>
    <xf numFmtId="0" fontId="0" fillId="0" borderId="59" xfId="0" applyBorder="1"/>
    <xf numFmtId="0" fontId="1" fillId="6" borderId="1" xfId="0" applyFont="1" applyFill="1" applyBorder="1"/>
    <xf numFmtId="0" fontId="2" fillId="6" borderId="1" xfId="0" applyFont="1" applyFill="1" applyBorder="1" applyAlignment="1">
      <alignment wrapText="1"/>
    </xf>
    <xf numFmtId="0" fontId="2" fillId="6" borderId="48" xfId="0" applyFont="1" applyFill="1" applyBorder="1" applyAlignment="1">
      <alignment wrapText="1"/>
    </xf>
    <xf numFmtId="0" fontId="2" fillId="6" borderId="13" xfId="0" applyFont="1" applyFill="1" applyBorder="1" applyAlignment="1">
      <alignment wrapText="1"/>
    </xf>
    <xf numFmtId="0" fontId="1" fillId="0" borderId="0" xfId="0" applyFont="1" applyAlignment="1">
      <alignment vertical="center"/>
    </xf>
    <xf numFmtId="0" fontId="43" fillId="0" borderId="1" xfId="5" applyFont="1" applyBorder="1" applyAlignment="1">
      <alignment horizontal="left" vertical="top" wrapText="1"/>
    </xf>
    <xf numFmtId="0" fontId="102" fillId="0" borderId="0" xfId="3" applyFont="1" applyAlignment="1">
      <alignment horizontal="left" vertical="top"/>
    </xf>
    <xf numFmtId="0" fontId="22" fillId="0" borderId="0" xfId="3" applyFont="1" applyAlignment="1">
      <alignment vertical="top" wrapText="1"/>
    </xf>
    <xf numFmtId="0" fontId="63" fillId="0" borderId="0" xfId="3" applyAlignment="1">
      <alignment vertical="top" wrapText="1"/>
    </xf>
    <xf numFmtId="0" fontId="35" fillId="0" borderId="0" xfId="3" applyFont="1" applyAlignment="1">
      <alignment horizontal="left" vertical="top"/>
    </xf>
    <xf numFmtId="0" fontId="103" fillId="0" borderId="0" xfId="3" applyFont="1" applyAlignment="1">
      <alignment horizontal="left" vertical="top"/>
    </xf>
    <xf numFmtId="0" fontId="105" fillId="0" borderId="0" xfId="3" applyFont="1" applyAlignment="1">
      <alignment horizontal="left" vertical="top"/>
    </xf>
    <xf numFmtId="0" fontId="106" fillId="0" borderId="0" xfId="3" applyFont="1" applyAlignment="1">
      <alignment horizontal="left" vertical="top"/>
    </xf>
    <xf numFmtId="0" fontId="107" fillId="0" borderId="0" xfId="3" applyFont="1" applyAlignment="1">
      <alignment horizontal="left" vertical="top"/>
    </xf>
    <xf numFmtId="0" fontId="108" fillId="0" borderId="0" xfId="3" applyFont="1" applyAlignment="1">
      <alignment horizontal="left" vertical="top" wrapText="1"/>
    </xf>
    <xf numFmtId="0" fontId="63" fillId="0" borderId="24" xfId="3" applyBorder="1" applyAlignment="1">
      <alignment vertical="top" wrapText="1"/>
    </xf>
    <xf numFmtId="0" fontId="63" fillId="0" borderId="25" xfId="3" applyBorder="1" applyAlignment="1">
      <alignment vertical="top" wrapText="1"/>
    </xf>
    <xf numFmtId="0" fontId="113" fillId="0" borderId="49" xfId="0" applyFont="1" applyBorder="1"/>
    <xf numFmtId="17" fontId="0" fillId="0" borderId="4" xfId="0" applyNumberFormat="1" applyBorder="1" applyAlignment="1">
      <alignment wrapText="1"/>
    </xf>
    <xf numFmtId="0" fontId="0" fillId="0" borderId="0" xfId="0" applyAlignment="1">
      <alignment horizontal="left"/>
    </xf>
    <xf numFmtId="0" fontId="113" fillId="0" borderId="4" xfId="0" applyFont="1" applyBorder="1"/>
    <xf numFmtId="44" fontId="0" fillId="0" borderId="4" xfId="0" applyNumberFormat="1" applyBorder="1" applyAlignment="1">
      <alignment wrapText="1"/>
    </xf>
    <xf numFmtId="44" fontId="0" fillId="0" borderId="4" xfId="1" applyFont="1" applyBorder="1" applyAlignment="1">
      <alignment wrapText="1"/>
    </xf>
    <xf numFmtId="1" fontId="0" fillId="0" borderId="4" xfId="0" applyNumberFormat="1" applyBorder="1"/>
    <xf numFmtId="0" fontId="113" fillId="2" borderId="4" xfId="0" applyFont="1" applyFill="1" applyBorder="1"/>
    <xf numFmtId="0" fontId="0" fillId="2" borderId="4" xfId="0" applyFill="1" applyBorder="1"/>
    <xf numFmtId="0" fontId="113" fillId="0" borderId="4" xfId="0" applyFont="1" applyBorder="1" applyAlignment="1">
      <alignment wrapText="1"/>
    </xf>
    <xf numFmtId="0" fontId="113" fillId="0" borderId="5" xfId="0" applyFont="1" applyBorder="1"/>
    <xf numFmtId="0" fontId="1" fillId="0" borderId="49" xfId="0" applyFont="1" applyBorder="1" applyAlignment="1">
      <alignment horizontal="center" vertical="center" wrapText="1"/>
    </xf>
    <xf numFmtId="0" fontId="113" fillId="0" borderId="1" xfId="0" applyFont="1" applyBorder="1"/>
    <xf numFmtId="0" fontId="22" fillId="0" borderId="23" xfId="5" applyFont="1" applyBorder="1" applyAlignment="1">
      <alignment horizontal="left" vertical="top" wrapText="1"/>
    </xf>
    <xf numFmtId="0" fontId="63" fillId="0" borderId="0" xfId="5" applyFont="1" applyAlignment="1">
      <alignment horizontal="left" vertical="top"/>
    </xf>
    <xf numFmtId="49" fontId="0" fillId="0" borderId="1" xfId="0" applyNumberFormat="1" applyBorder="1"/>
    <xf numFmtId="168" fontId="24" fillId="0" borderId="35" xfId="5" applyNumberFormat="1" applyFont="1" applyBorder="1" applyAlignment="1">
      <alignment horizontal="left" vertical="top" wrapText="1"/>
    </xf>
    <xf numFmtId="44" fontId="24" fillId="0" borderId="35" xfId="1" applyFont="1" applyFill="1" applyBorder="1" applyAlignment="1">
      <alignment horizontal="left" vertical="top" wrapText="1"/>
    </xf>
    <xf numFmtId="0" fontId="46" fillId="0" borderId="61" xfId="5" applyFont="1" applyBorder="1" applyAlignment="1">
      <alignment horizontal="left" vertical="top" wrapText="1"/>
    </xf>
    <xf numFmtId="0" fontId="114" fillId="0" borderId="65" xfId="5" applyFont="1" applyBorder="1" applyAlignment="1">
      <alignment horizontal="left" vertical="top"/>
    </xf>
    <xf numFmtId="0" fontId="92" fillId="0" borderId="52" xfId="5" applyBorder="1" applyAlignment="1">
      <alignment horizontal="left" vertical="top"/>
    </xf>
    <xf numFmtId="0" fontId="114" fillId="0" borderId="66" xfId="5" applyFont="1" applyBorder="1" applyAlignment="1">
      <alignment horizontal="left" vertical="top"/>
    </xf>
    <xf numFmtId="49" fontId="63" fillId="0" borderId="67" xfId="5" applyNumberFormat="1" applyFont="1" applyBorder="1" applyAlignment="1">
      <alignment horizontal="left" vertical="top"/>
    </xf>
    <xf numFmtId="0" fontId="92" fillId="0" borderId="67" xfId="5" applyBorder="1" applyAlignment="1">
      <alignment horizontal="left" vertical="top"/>
    </xf>
    <xf numFmtId="0" fontId="92" fillId="0" borderId="68" xfId="5" applyBorder="1" applyAlignment="1">
      <alignment horizontal="left" vertical="top"/>
    </xf>
    <xf numFmtId="0" fontId="11" fillId="0" borderId="0" xfId="5" applyFont="1" applyAlignment="1">
      <alignment horizontal="left" vertical="top"/>
    </xf>
    <xf numFmtId="0" fontId="63" fillId="0" borderId="0" xfId="5" applyFont="1" applyAlignment="1">
      <alignment horizontal="right" vertical="top"/>
    </xf>
    <xf numFmtId="0" fontId="92" fillId="0" borderId="0" xfId="5" applyAlignment="1">
      <alignment horizontal="center" vertical="top"/>
    </xf>
    <xf numFmtId="166" fontId="26" fillId="0" borderId="24" xfId="5" applyNumberFormat="1" applyFont="1" applyBorder="1" applyAlignment="1">
      <alignment horizontal="left" vertical="top" wrapText="1"/>
    </xf>
    <xf numFmtId="0" fontId="46" fillId="0" borderId="55" xfId="5" applyFont="1" applyBorder="1" applyAlignment="1">
      <alignment horizontal="left" vertical="top" wrapText="1"/>
    </xf>
    <xf numFmtId="43" fontId="92" fillId="0" borderId="60" xfId="2" applyFont="1" applyFill="1" applyBorder="1" applyAlignment="1">
      <alignment vertical="top" wrapText="1"/>
    </xf>
    <xf numFmtId="0" fontId="46" fillId="0" borderId="30" xfId="5" applyFont="1" applyBorder="1" applyAlignment="1">
      <alignment horizontal="left" vertical="top" wrapText="1"/>
    </xf>
    <xf numFmtId="0" fontId="51" fillId="0" borderId="0" xfId="5" applyFont="1" applyAlignment="1">
      <alignment horizontal="center" vertical="top"/>
    </xf>
    <xf numFmtId="0" fontId="50" fillId="0" borderId="0" xfId="5" applyFont="1" applyAlignment="1">
      <alignment horizontal="center" vertical="top"/>
    </xf>
    <xf numFmtId="0" fontId="116" fillId="0" borderId="0" xfId="5" applyFont="1" applyAlignment="1">
      <alignment horizontal="left" vertical="top"/>
    </xf>
    <xf numFmtId="0" fontId="118" fillId="0" borderId="23" xfId="5" applyFont="1" applyBorder="1" applyAlignment="1">
      <alignment horizontal="left" vertical="top" wrapText="1"/>
    </xf>
    <xf numFmtId="0" fontId="117" fillId="0" borderId="23" xfId="5" applyFont="1" applyBorder="1" applyAlignment="1">
      <alignment horizontal="left" vertical="top" wrapText="1"/>
    </xf>
    <xf numFmtId="0" fontId="120" fillId="0" borderId="0" xfId="5" applyFont="1" applyAlignment="1">
      <alignment horizontal="left" vertical="top"/>
    </xf>
    <xf numFmtId="0" fontId="117" fillId="0" borderId="0" xfId="5" applyFont="1" applyAlignment="1">
      <alignment horizontal="right" vertical="top"/>
    </xf>
    <xf numFmtId="0" fontId="78" fillId="0" borderId="1" xfId="0" applyFont="1" applyBorder="1" applyAlignment="1">
      <alignment vertical="center" wrapText="1"/>
    </xf>
    <xf numFmtId="0" fontId="78" fillId="0" borderId="2" xfId="0" applyFont="1" applyBorder="1" applyAlignment="1">
      <alignment vertical="center" wrapText="1"/>
    </xf>
    <xf numFmtId="1" fontId="10" fillId="0" borderId="23" xfId="0" applyNumberFormat="1" applyFont="1" applyBorder="1" applyAlignment="1">
      <alignment horizontal="left" vertical="top" wrapText="1"/>
    </xf>
    <xf numFmtId="49" fontId="0" fillId="0" borderId="2" xfId="0" applyNumberFormat="1" applyBorder="1"/>
    <xf numFmtId="49" fontId="0" fillId="0" borderId="39" xfId="0" applyNumberFormat="1" applyBorder="1"/>
    <xf numFmtId="49" fontId="0" fillId="0" borderId="0" xfId="0" applyNumberFormat="1"/>
    <xf numFmtId="49" fontId="1" fillId="6" borderId="1" xfId="0" applyNumberFormat="1" applyFont="1" applyFill="1" applyBorder="1"/>
    <xf numFmtId="49" fontId="0" fillId="0" borderId="38" xfId="0" applyNumberFormat="1" applyBorder="1"/>
    <xf numFmtId="49" fontId="1" fillId="6" borderId="13" xfId="0" applyNumberFormat="1" applyFont="1" applyFill="1" applyBorder="1"/>
    <xf numFmtId="49" fontId="0" fillId="0" borderId="10" xfId="0" applyNumberFormat="1" applyBorder="1"/>
    <xf numFmtId="49" fontId="0" fillId="0" borderId="2" xfId="0" applyNumberFormat="1" applyBorder="1" applyAlignment="1">
      <alignment horizontal="left"/>
    </xf>
    <xf numFmtId="0" fontId="0" fillId="0" borderId="19" xfId="0" applyBorder="1" applyAlignment="1">
      <alignment horizontal="left"/>
    </xf>
    <xf numFmtId="0" fontId="0" fillId="0" borderId="22" xfId="0" applyBorder="1" applyAlignment="1">
      <alignment horizontal="left"/>
    </xf>
    <xf numFmtId="0" fontId="1" fillId="2" borderId="13" xfId="0" applyFont="1" applyFill="1" applyBorder="1" applyAlignment="1">
      <alignment horizontal="right"/>
    </xf>
    <xf numFmtId="0" fontId="0" fillId="0" borderId="16" xfId="0" applyBorder="1" applyAlignment="1">
      <alignment horizontal="left"/>
    </xf>
    <xf numFmtId="0" fontId="10" fillId="0" borderId="30" xfId="0" applyFont="1" applyBorder="1" applyAlignment="1">
      <alignment horizontal="left" vertical="top" wrapText="1"/>
    </xf>
    <xf numFmtId="0" fontId="0" fillId="0" borderId="40" xfId="0" applyBorder="1"/>
    <xf numFmtId="0" fontId="0" fillId="0" borderId="41" xfId="0" applyBorder="1"/>
    <xf numFmtId="0" fontId="0" fillId="0" borderId="7" xfId="0" applyBorder="1"/>
    <xf numFmtId="0" fontId="0" fillId="0" borderId="8" xfId="0" applyBorder="1"/>
    <xf numFmtId="0" fontId="121" fillId="0" borderId="0" xfId="0" applyFont="1"/>
    <xf numFmtId="0" fontId="44" fillId="0" borderId="0" xfId="0" applyFont="1" applyAlignment="1">
      <alignment vertical="top" wrapText="1"/>
    </xf>
    <xf numFmtId="0" fontId="44" fillId="0" borderId="0" xfId="0" applyFont="1" applyAlignment="1">
      <alignment horizontal="left"/>
    </xf>
    <xf numFmtId="0" fontId="44" fillId="0" borderId="0" xfId="0" applyFont="1"/>
    <xf numFmtId="0" fontId="60" fillId="0" borderId="0" xfId="0" applyFont="1" applyAlignment="1">
      <alignment horizontal="left" vertical="top"/>
    </xf>
    <xf numFmtId="0" fontId="1" fillId="0" borderId="0" xfId="0" applyFont="1" applyAlignment="1">
      <alignment horizontal="left" vertical="top"/>
    </xf>
    <xf numFmtId="0" fontId="122" fillId="0" borderId="0" xfId="0" applyFont="1" applyAlignment="1">
      <alignment horizontal="center" vertical="top"/>
    </xf>
    <xf numFmtId="0" fontId="122" fillId="0" borderId="0" xfId="0" applyFont="1"/>
    <xf numFmtId="0" fontId="122" fillId="0" borderId="0" xfId="0" applyFont="1" applyAlignment="1">
      <alignment horizontal="left"/>
    </xf>
    <xf numFmtId="0" fontId="122" fillId="0" borderId="0" xfId="0" applyFont="1" applyAlignment="1">
      <alignment horizontal="right" vertical="center"/>
    </xf>
    <xf numFmtId="0" fontId="122" fillId="0" borderId="0" xfId="0" applyFont="1" applyAlignment="1">
      <alignment horizontal="left" vertical="top"/>
    </xf>
    <xf numFmtId="0" fontId="124" fillId="0" borderId="0" xfId="0" applyFont="1" applyAlignment="1">
      <alignment horizontal="right"/>
    </xf>
    <xf numFmtId="0" fontId="122" fillId="0" borderId="9" xfId="0" applyFont="1" applyBorder="1"/>
    <xf numFmtId="0" fontId="124" fillId="0" borderId="0" xfId="0" applyFont="1"/>
    <xf numFmtId="0" fontId="17" fillId="0" borderId="0" xfId="0" applyFont="1" applyAlignment="1">
      <alignment horizontal="right" vertical="top"/>
    </xf>
    <xf numFmtId="0" fontId="124" fillId="0" borderId="9" xfId="0" applyFont="1" applyBorder="1"/>
    <xf numFmtId="0" fontId="122" fillId="0" borderId="0" xfId="0" applyFont="1" applyAlignment="1">
      <alignment horizontal="right" vertical="top"/>
    </xf>
    <xf numFmtId="0" fontId="122" fillId="0" borderId="0" xfId="0" applyFont="1" applyAlignment="1">
      <alignment horizontal="right"/>
    </xf>
    <xf numFmtId="0" fontId="125" fillId="0" borderId="0" xfId="0" applyFont="1" applyAlignment="1">
      <alignment horizontal="left"/>
    </xf>
    <xf numFmtId="1" fontId="0" fillId="0" borderId="1" xfId="0" applyNumberFormat="1" applyBorder="1"/>
    <xf numFmtId="0" fontId="8" fillId="0" borderId="24" xfId="3" applyFont="1" applyBorder="1" applyAlignment="1">
      <alignment vertical="top" wrapText="1"/>
    </xf>
    <xf numFmtId="0" fontId="8" fillId="0" borderId="25" xfId="3" applyFont="1" applyBorder="1" applyAlignment="1">
      <alignment vertical="top" wrapText="1"/>
    </xf>
    <xf numFmtId="0" fontId="8" fillId="0" borderId="26" xfId="3" applyFont="1" applyBorder="1" applyAlignment="1">
      <alignment vertical="top" wrapText="1"/>
    </xf>
    <xf numFmtId="0" fontId="127" fillId="0" borderId="0" xfId="7" applyFont="1"/>
    <xf numFmtId="0" fontId="92" fillId="0" borderId="0" xfId="5" applyAlignment="1">
      <alignment vertical="top"/>
    </xf>
    <xf numFmtId="0" fontId="15" fillId="0" borderId="0" xfId="0" applyFont="1" applyAlignment="1">
      <alignment horizontal="right" vertical="top"/>
    </xf>
    <xf numFmtId="164" fontId="36" fillId="0" borderId="69" xfId="0" applyNumberFormat="1" applyFont="1" applyBorder="1" applyAlignment="1">
      <alignment horizontal="left" vertical="top" wrapText="1"/>
    </xf>
    <xf numFmtId="0" fontId="15" fillId="0" borderId="69" xfId="0" applyFont="1" applyBorder="1" applyAlignment="1">
      <alignment horizontal="left" vertical="top" wrapText="1"/>
    </xf>
    <xf numFmtId="0" fontId="39" fillId="0" borderId="0" xfId="0" applyFont="1" applyAlignment="1">
      <alignment horizontal="left" vertical="top"/>
    </xf>
    <xf numFmtId="0" fontId="128" fillId="0" borderId="0" xfId="0" applyFont="1" applyAlignment="1">
      <alignment horizontal="left" vertical="top"/>
    </xf>
    <xf numFmtId="167" fontId="58" fillId="0" borderId="26" xfId="0" applyNumberFormat="1" applyFont="1" applyBorder="1" applyAlignment="1">
      <alignment horizontal="left" vertical="center" wrapText="1"/>
    </xf>
    <xf numFmtId="0" fontId="0" fillId="0" borderId="30" xfId="0" applyBorder="1" applyAlignment="1">
      <alignment horizontal="center" vertical="top" wrapText="1"/>
    </xf>
    <xf numFmtId="0" fontId="42" fillId="0" borderId="69" xfId="0" applyFont="1" applyBorder="1" applyAlignment="1">
      <alignment horizontal="center" vertical="top" wrapText="1"/>
    </xf>
    <xf numFmtId="164" fontId="57" fillId="0" borderId="69" xfId="0" applyNumberFormat="1" applyFont="1" applyBorder="1" applyAlignment="1">
      <alignment horizontal="center" vertical="center" wrapText="1"/>
    </xf>
    <xf numFmtId="0" fontId="107" fillId="0" borderId="0" xfId="3" applyFont="1" applyAlignment="1">
      <alignment vertical="top"/>
    </xf>
    <xf numFmtId="0" fontId="63" fillId="0" borderId="9" xfId="3" applyBorder="1" applyAlignment="1">
      <alignment horizontal="left" vertical="top"/>
    </xf>
    <xf numFmtId="0" fontId="63" fillId="0" borderId="12" xfId="3" applyBorder="1" applyAlignment="1">
      <alignment horizontal="left" vertical="top"/>
    </xf>
    <xf numFmtId="0" fontId="23" fillId="0" borderId="31" xfId="3" applyFont="1" applyBorder="1" applyAlignment="1">
      <alignment horizontal="left" vertical="center" wrapText="1"/>
    </xf>
    <xf numFmtId="0" fontId="23" fillId="0" borderId="24" xfId="3" applyFont="1" applyBorder="1" applyAlignment="1">
      <alignment horizontal="left" vertical="center" wrapText="1"/>
    </xf>
    <xf numFmtId="0" fontId="63" fillId="0" borderId="27" xfId="3" applyBorder="1" applyAlignment="1">
      <alignment vertical="top" wrapText="1"/>
    </xf>
    <xf numFmtId="0" fontId="23" fillId="0" borderId="69" xfId="3" applyFont="1" applyBorder="1" applyAlignment="1">
      <alignment vertical="center" wrapText="1"/>
    </xf>
    <xf numFmtId="0" fontId="63" fillId="0" borderId="0" xfId="3" applyAlignment="1">
      <alignment horizontal="right"/>
    </xf>
    <xf numFmtId="0" fontId="5" fillId="0" borderId="0" xfId="3" applyFont="1" applyAlignment="1">
      <alignment horizontal="right" vertical="top" wrapText="1"/>
    </xf>
    <xf numFmtId="0" fontId="5" fillId="0" borderId="0" xfId="3" applyFont="1" applyAlignment="1">
      <alignment horizontal="right" wrapText="1"/>
    </xf>
    <xf numFmtId="173" fontId="35" fillId="0" borderId="0" xfId="3" applyNumberFormat="1" applyFont="1" applyAlignment="1">
      <alignment horizontal="left" vertical="top"/>
    </xf>
    <xf numFmtId="0" fontId="63" fillId="0" borderId="69" xfId="3" applyBorder="1" applyAlignment="1">
      <alignment horizontal="left" vertical="top"/>
    </xf>
    <xf numFmtId="0" fontId="63" fillId="0" borderId="0" xfId="3" applyAlignment="1">
      <alignment vertical="top"/>
    </xf>
    <xf numFmtId="0" fontId="103" fillId="0" borderId="0" xfId="3" applyFont="1" applyAlignment="1">
      <alignment vertical="center"/>
    </xf>
    <xf numFmtId="0" fontId="27" fillId="0" borderId="0" xfId="0" applyFont="1" applyAlignment="1">
      <alignment horizontal="right" vertical="top"/>
    </xf>
    <xf numFmtId="0" fontId="20" fillId="0" borderId="0" xfId="0" applyFont="1" applyAlignment="1">
      <alignment horizontal="left"/>
    </xf>
    <xf numFmtId="0" fontId="38" fillId="0" borderId="0" xfId="3" applyFont="1" applyAlignment="1">
      <alignment horizontal="right" vertical="top"/>
    </xf>
    <xf numFmtId="0" fontId="30" fillId="0" borderId="0" xfId="3" applyFont="1" applyAlignment="1">
      <alignment horizontal="right" vertical="top"/>
    </xf>
    <xf numFmtId="0" fontId="27" fillId="0" borderId="0" xfId="3" applyFont="1" applyAlignment="1">
      <alignment horizontal="left"/>
    </xf>
    <xf numFmtId="0" fontId="5" fillId="0" borderId="0" xfId="3" applyFont="1" applyAlignment="1">
      <alignment horizontal="left"/>
    </xf>
    <xf numFmtId="0" fontId="22" fillId="0" borderId="0" xfId="3" applyFont="1" applyAlignment="1">
      <alignment horizontal="left"/>
    </xf>
    <xf numFmtId="0" fontId="90" fillId="0" borderId="0" xfId="3" applyFont="1" applyAlignment="1">
      <alignment horizontal="left"/>
    </xf>
    <xf numFmtId="0" fontId="37" fillId="0" borderId="0" xfId="3" applyFont="1" applyAlignment="1">
      <alignment horizontal="center" vertical="top"/>
    </xf>
    <xf numFmtId="0" fontId="113" fillId="0" borderId="1" xfId="0" applyFont="1" applyBorder="1" applyAlignment="1">
      <alignment horizontal="right"/>
    </xf>
    <xf numFmtId="0" fontId="4" fillId="0" borderId="0" xfId="0" applyFont="1" applyAlignment="1">
      <alignment horizontal="right" vertical="top"/>
    </xf>
    <xf numFmtId="0" fontId="22" fillId="0" borderId="70" xfId="0" applyFont="1" applyBorder="1" applyAlignment="1">
      <alignment horizontal="left" vertical="top" wrapText="1"/>
    </xf>
    <xf numFmtId="0" fontId="17" fillId="0" borderId="70" xfId="0" applyFont="1" applyBorder="1" applyAlignment="1">
      <alignment horizontal="left" vertical="top" wrapText="1"/>
    </xf>
    <xf numFmtId="0" fontId="23" fillId="0" borderId="79" xfId="0" applyFont="1" applyBorder="1" applyAlignment="1">
      <alignment horizontal="center" vertical="top" wrapText="1"/>
    </xf>
    <xf numFmtId="0" fontId="23" fillId="0" borderId="80" xfId="0" applyFont="1" applyBorder="1" applyAlignment="1">
      <alignment horizontal="left" vertical="top" wrapText="1"/>
    </xf>
    <xf numFmtId="0" fontId="0" fillId="0" borderId="65" xfId="0" applyBorder="1"/>
    <xf numFmtId="0" fontId="0" fillId="0" borderId="52" xfId="0" applyBorder="1"/>
    <xf numFmtId="0" fontId="0" fillId="0" borderId="66" xfId="0" applyBorder="1"/>
    <xf numFmtId="0" fontId="0" fillId="0" borderId="67" xfId="0" applyBorder="1"/>
    <xf numFmtId="0" fontId="0" fillId="0" borderId="68" xfId="0" applyBorder="1"/>
    <xf numFmtId="0" fontId="22" fillId="0" borderId="81" xfId="0" applyFont="1" applyBorder="1" applyAlignment="1">
      <alignment horizontal="left" vertical="top" wrapText="1"/>
    </xf>
    <xf numFmtId="0" fontId="22" fillId="0" borderId="82" xfId="0" applyFont="1" applyBorder="1" applyAlignment="1">
      <alignment horizontal="left" vertical="center" wrapText="1"/>
    </xf>
    <xf numFmtId="0" fontId="22" fillId="0" borderId="83" xfId="0" applyFont="1" applyBorder="1" applyAlignment="1">
      <alignment horizontal="left" vertical="top" wrapText="1"/>
    </xf>
    <xf numFmtId="0" fontId="90" fillId="0" borderId="72" xfId="5" applyFont="1" applyBorder="1" applyAlignment="1">
      <alignment horizontal="right" vertical="top"/>
    </xf>
    <xf numFmtId="0" fontId="3" fillId="0" borderId="71" xfId="5" applyFont="1" applyBorder="1" applyAlignment="1">
      <alignment horizontal="right" vertical="top" wrapText="1"/>
    </xf>
    <xf numFmtId="0" fontId="90" fillId="0" borderId="69" xfId="5" applyFont="1" applyBorder="1" applyAlignment="1">
      <alignment horizontal="right" vertical="top"/>
    </xf>
    <xf numFmtId="0" fontId="129" fillId="0" borderId="0" xfId="5" applyFont="1" applyAlignment="1">
      <alignment horizontal="left" vertical="top"/>
    </xf>
    <xf numFmtId="0" fontId="84" fillId="0" borderId="0" xfId="5" applyFont="1" applyAlignment="1">
      <alignment horizontal="left" vertical="top"/>
    </xf>
    <xf numFmtId="0" fontId="4" fillId="0" borderId="0" xfId="5" applyFont="1" applyAlignment="1">
      <alignment horizontal="right" vertical="top"/>
    </xf>
    <xf numFmtId="0" fontId="84" fillId="0" borderId="0" xfId="3" applyFont="1" applyAlignment="1">
      <alignment horizontal="left" vertical="top"/>
    </xf>
    <xf numFmtId="0" fontId="132" fillId="0" borderId="0" xfId="3" applyFont="1" applyAlignment="1">
      <alignment horizontal="left" vertical="top"/>
    </xf>
    <xf numFmtId="0" fontId="113" fillId="0" borderId="11" xfId="0" applyFont="1" applyBorder="1"/>
    <xf numFmtId="0" fontId="103" fillId="0" borderId="0" xfId="3" applyFont="1" applyAlignment="1">
      <alignment horizontal="left" vertical="center"/>
    </xf>
    <xf numFmtId="0" fontId="63" fillId="0" borderId="26" xfId="3" applyBorder="1" applyAlignment="1">
      <alignment vertical="top" wrapText="1"/>
    </xf>
    <xf numFmtId="0" fontId="68" fillId="0" borderId="0" xfId="0" applyFont="1" applyAlignment="1">
      <alignment vertical="top" wrapText="1"/>
    </xf>
    <xf numFmtId="0" fontId="122" fillId="0" borderId="9" xfId="0" applyFont="1" applyBorder="1" applyAlignment="1">
      <alignment horizontal="left"/>
    </xf>
    <xf numFmtId="49" fontId="0" fillId="2" borderId="41" xfId="0" applyNumberFormat="1" applyFill="1" applyBorder="1"/>
    <xf numFmtId="49" fontId="0" fillId="2" borderId="7" xfId="0" applyNumberFormat="1" applyFill="1" applyBorder="1"/>
    <xf numFmtId="174" fontId="0" fillId="0" borderId="16" xfId="0" applyNumberFormat="1" applyBorder="1"/>
    <xf numFmtId="0" fontId="0" fillId="0" borderId="69" xfId="0" applyBorder="1" applyAlignment="1">
      <alignment horizontal="left" vertical="top" wrapText="1"/>
    </xf>
    <xf numFmtId="0" fontId="35" fillId="0" borderId="69" xfId="0" applyFont="1" applyBorder="1" applyAlignment="1">
      <alignment horizontal="left" vertical="top" wrapText="1"/>
    </xf>
    <xf numFmtId="169" fontId="36" fillId="0" borderId="69" xfId="0" applyNumberFormat="1" applyFont="1" applyBorder="1" applyAlignment="1">
      <alignment horizontal="left" vertical="top" wrapText="1"/>
    </xf>
    <xf numFmtId="0" fontId="1" fillId="0" borderId="6" xfId="0" applyFont="1" applyBorder="1"/>
    <xf numFmtId="0" fontId="0" fillId="0" borderId="69" xfId="0" applyBorder="1"/>
    <xf numFmtId="0" fontId="0" fillId="0" borderId="2" xfId="0" applyBorder="1" applyAlignment="1">
      <alignment wrapText="1"/>
    </xf>
    <xf numFmtId="0" fontId="92" fillId="0" borderId="25" xfId="5" applyBorder="1" applyAlignment="1">
      <alignment horizontal="left" vertical="top" wrapText="1"/>
    </xf>
    <xf numFmtId="0" fontId="92" fillId="0" borderId="69" xfId="5" applyBorder="1" applyAlignment="1">
      <alignment horizontal="left" vertical="top" wrapText="1"/>
    </xf>
    <xf numFmtId="0" fontId="93" fillId="0" borderId="95" xfId="5" applyFont="1" applyBorder="1" applyAlignment="1">
      <alignment horizontal="left" vertical="top" wrapText="1"/>
    </xf>
    <xf numFmtId="0" fontId="63" fillId="0" borderId="0" xfId="5" applyFont="1" applyAlignment="1">
      <alignment horizontal="left" vertical="top" wrapText="1"/>
    </xf>
    <xf numFmtId="0" fontId="134" fillId="0" borderId="0" xfId="5" applyFont="1" applyAlignment="1">
      <alignment horizontal="right" vertical="top" wrapText="1"/>
    </xf>
    <xf numFmtId="168" fontId="137" fillId="0" borderId="0" xfId="5" applyNumberFormat="1" applyFont="1" applyAlignment="1">
      <alignment horizontal="left" vertical="top" wrapText="1"/>
    </xf>
    <xf numFmtId="0" fontId="63" fillId="0" borderId="25" xfId="5" applyFont="1" applyBorder="1" applyAlignment="1">
      <alignment vertical="top"/>
    </xf>
    <xf numFmtId="49" fontId="63" fillId="0" borderId="90" xfId="5" applyNumberFormat="1" applyFont="1" applyBorder="1" applyAlignment="1">
      <alignment vertical="top" wrapText="1"/>
    </xf>
    <xf numFmtId="0" fontId="63" fillId="0" borderId="90" xfId="5" applyFont="1" applyBorder="1" applyAlignment="1">
      <alignment vertical="top" wrapText="1"/>
    </xf>
    <xf numFmtId="0" fontId="90" fillId="0" borderId="0" xfId="5" applyFont="1" applyAlignment="1">
      <alignment horizontal="left" vertical="top" wrapText="1"/>
    </xf>
    <xf numFmtId="49" fontId="63" fillId="0" borderId="0" xfId="5" applyNumberFormat="1" applyFont="1" applyAlignment="1">
      <alignment horizontal="left" vertical="top" wrapText="1"/>
    </xf>
    <xf numFmtId="0" fontId="92" fillId="0" borderId="0" xfId="5" applyAlignment="1">
      <alignment horizontal="left" vertical="top" wrapText="1"/>
    </xf>
    <xf numFmtId="0" fontId="142" fillId="0" borderId="0" xfId="5" applyFont="1" applyAlignment="1">
      <alignment horizontal="center" vertical="top"/>
    </xf>
    <xf numFmtId="0" fontId="92" fillId="0" borderId="94" xfId="5" applyBorder="1" applyAlignment="1">
      <alignment horizontal="left" vertical="top" wrapText="1"/>
    </xf>
    <xf numFmtId="0" fontId="142" fillId="0" borderId="0" xfId="5" applyFont="1" applyAlignment="1">
      <alignment horizontal="left" vertical="top"/>
    </xf>
    <xf numFmtId="0" fontId="135" fillId="0" borderId="28" xfId="5" applyFont="1" applyBorder="1" applyAlignment="1">
      <alignment vertical="top"/>
    </xf>
    <xf numFmtId="0" fontId="145" fillId="0" borderId="69" xfId="5" applyFont="1" applyBorder="1" applyAlignment="1">
      <alignment horizontal="left" vertical="top" wrapText="1"/>
    </xf>
    <xf numFmtId="0" fontId="92" fillId="4" borderId="25" xfId="5" applyFill="1" applyBorder="1" applyAlignment="1">
      <alignment horizontal="left" vertical="top" wrapText="1"/>
    </xf>
    <xf numFmtId="0" fontId="92" fillId="4" borderId="96" xfId="5" applyFill="1" applyBorder="1" applyAlignment="1">
      <alignment horizontal="left" vertical="top" wrapText="1"/>
    </xf>
    <xf numFmtId="0" fontId="135" fillId="0" borderId="44" xfId="5" applyFont="1" applyBorder="1" applyAlignment="1">
      <alignment horizontal="left" vertical="top" wrapText="1"/>
    </xf>
    <xf numFmtId="164" fontId="137" fillId="0" borderId="117" xfId="5" applyNumberFormat="1" applyFont="1" applyBorder="1" applyAlignment="1">
      <alignment horizontal="center" vertical="top" wrapText="1"/>
    </xf>
    <xf numFmtId="0" fontId="134" fillId="0" borderId="109" xfId="5" applyFont="1" applyBorder="1" applyAlignment="1">
      <alignment horizontal="center" vertical="top" wrapText="1"/>
    </xf>
    <xf numFmtId="0" fontId="52" fillId="0" borderId="0" xfId="0" applyFont="1" applyAlignment="1">
      <alignment vertical="top" wrapText="1"/>
    </xf>
    <xf numFmtId="0" fontId="20" fillId="0" borderId="3" xfId="0" applyFont="1" applyBorder="1" applyAlignment="1">
      <alignment horizontal="left" vertical="top"/>
    </xf>
    <xf numFmtId="0" fontId="20" fillId="0" borderId="4" xfId="0" applyFont="1" applyBorder="1" applyAlignment="1">
      <alignment horizontal="left" vertical="top"/>
    </xf>
    <xf numFmtId="10" fontId="0" fillId="0" borderId="17" xfId="0" applyNumberFormat="1" applyBorder="1" applyAlignment="1">
      <alignment horizontal="left" vertical="top"/>
    </xf>
    <xf numFmtId="0" fontId="0" fillId="0" borderId="18" xfId="0" applyBorder="1" applyAlignment="1">
      <alignment horizontal="left" vertical="top"/>
    </xf>
    <xf numFmtId="0" fontId="0" fillId="0" borderId="18" xfId="0" applyBorder="1"/>
    <xf numFmtId="0" fontId="0" fillId="0" borderId="19" xfId="0" applyBorder="1"/>
    <xf numFmtId="0" fontId="0" fillId="0" borderId="18" xfId="0" applyBorder="1" applyAlignment="1">
      <alignment vertical="top" wrapText="1"/>
    </xf>
    <xf numFmtId="0" fontId="0" fillId="0" borderId="19" xfId="0" applyBorder="1" applyAlignment="1">
      <alignment vertical="top" wrapText="1"/>
    </xf>
    <xf numFmtId="0" fontId="53" fillId="0" borderId="17" xfId="0" applyFont="1" applyBorder="1" applyAlignment="1">
      <alignment horizontal="left" vertical="top"/>
    </xf>
    <xf numFmtId="0" fontId="23" fillId="0" borderId="17" xfId="0" applyFont="1" applyBorder="1" applyAlignment="1">
      <alignment horizontal="left" vertical="top"/>
    </xf>
    <xf numFmtId="0" fontId="42" fillId="0" borderId="17" xfId="0" applyFont="1" applyBorder="1" applyAlignment="1">
      <alignment horizontal="left" vertical="top"/>
    </xf>
    <xf numFmtId="0" fontId="20" fillId="0" borderId="5" xfId="0" applyFont="1" applyBorder="1" applyAlignment="1">
      <alignment horizontal="left" vertical="top"/>
    </xf>
    <xf numFmtId="0" fontId="23" fillId="0" borderId="20" xfId="0" applyFont="1" applyBorder="1" applyAlignment="1">
      <alignment horizontal="left" vertical="top"/>
    </xf>
    <xf numFmtId="0" fontId="0" fillId="0" borderId="21" xfId="0" applyBorder="1" applyAlignment="1">
      <alignment horizontal="left" vertical="top"/>
    </xf>
    <xf numFmtId="0" fontId="0" fillId="0" borderId="21" xfId="0" applyBorder="1"/>
    <xf numFmtId="0" fontId="20" fillId="0" borderId="3" xfId="0" applyFont="1" applyBorder="1" applyAlignment="1">
      <alignment horizontal="right"/>
    </xf>
    <xf numFmtId="0" fontId="53" fillId="0" borderId="14" xfId="0" applyFont="1" applyBorder="1" applyAlignment="1">
      <alignment horizontal="left"/>
    </xf>
    <xf numFmtId="0" fontId="0" fillId="0" borderId="15" xfId="0" applyBorder="1" applyAlignment="1">
      <alignment horizontal="left" vertical="center"/>
    </xf>
    <xf numFmtId="0" fontId="0" fillId="0" borderId="16" xfId="0" applyBorder="1" applyAlignment="1">
      <alignment horizontal="left" vertical="center"/>
    </xf>
    <xf numFmtId="0" fontId="20" fillId="0" borderId="4" xfId="0" applyFont="1" applyBorder="1" applyAlignment="1">
      <alignment horizontal="right"/>
    </xf>
    <xf numFmtId="0" fontId="53" fillId="0" borderId="17" xfId="0" applyFont="1" applyBorder="1" applyAlignment="1">
      <alignment horizontal="left" vertical="center"/>
    </xf>
    <xf numFmtId="0" fontId="0" fillId="0" borderId="19" xfId="0" applyBorder="1" applyAlignment="1">
      <alignment horizontal="left" vertical="top"/>
    </xf>
    <xf numFmtId="0" fontId="23" fillId="0" borderId="17" xfId="0" applyFont="1" applyBorder="1" applyAlignment="1">
      <alignment horizontal="left" vertical="center"/>
    </xf>
    <xf numFmtId="1" fontId="53" fillId="0" borderId="17" xfId="0" applyNumberFormat="1" applyFont="1" applyBorder="1" applyAlignment="1">
      <alignment horizontal="left" vertical="top"/>
    </xf>
    <xf numFmtId="0" fontId="20" fillId="0" borderId="5" xfId="0" applyFont="1" applyBorder="1" applyAlignment="1">
      <alignment horizontal="right"/>
    </xf>
    <xf numFmtId="0" fontId="0" fillId="0" borderId="22" xfId="0" applyBorder="1" applyAlignment="1">
      <alignment horizontal="left" vertical="top"/>
    </xf>
    <xf numFmtId="43" fontId="137" fillId="0" borderId="118" xfId="2" applyFont="1" applyFill="1" applyBorder="1" applyAlignment="1">
      <alignment horizontal="center" vertical="top" wrapText="1"/>
    </xf>
    <xf numFmtId="0" fontId="92" fillId="0" borderId="118" xfId="5" applyBorder="1" applyAlignment="1">
      <alignment horizontal="center" vertical="top"/>
    </xf>
    <xf numFmtId="49" fontId="0" fillId="0" borderId="40" xfId="0" applyNumberFormat="1" applyBorder="1"/>
    <xf numFmtId="49" fontId="0" fillId="0" borderId="8" xfId="0" applyNumberFormat="1" applyBorder="1"/>
    <xf numFmtId="49" fontId="0" fillId="0" borderId="6" xfId="0" applyNumberFormat="1" applyBorder="1"/>
    <xf numFmtId="49" fontId="1" fillId="6" borderId="39" xfId="0" applyNumberFormat="1" applyFont="1" applyFill="1" applyBorder="1"/>
    <xf numFmtId="49" fontId="0" fillId="5" borderId="5" xfId="0" applyNumberFormat="1" applyFill="1" applyBorder="1"/>
    <xf numFmtId="0" fontId="0" fillId="5" borderId="49" xfId="0" applyFill="1" applyBorder="1"/>
    <xf numFmtId="0" fontId="0" fillId="5" borderId="5" xfId="0" applyFill="1" applyBorder="1"/>
    <xf numFmtId="0" fontId="0" fillId="5" borderId="123" xfId="0" applyFill="1" applyBorder="1"/>
    <xf numFmtId="49" fontId="0" fillId="5" borderId="49" xfId="0" applyNumberFormat="1" applyFill="1" applyBorder="1"/>
    <xf numFmtId="49" fontId="0" fillId="5" borderId="3" xfId="0" applyNumberFormat="1" applyFill="1" applyBorder="1"/>
    <xf numFmtId="49" fontId="0" fillId="7" borderId="0" xfId="0" applyNumberFormat="1" applyFill="1"/>
    <xf numFmtId="0" fontId="127" fillId="0" borderId="0" xfId="0" applyFont="1"/>
    <xf numFmtId="0" fontId="0" fillId="7" borderId="0" xfId="0" applyFill="1"/>
    <xf numFmtId="167" fontId="137" fillId="0" borderId="118" xfId="5" applyNumberFormat="1" applyFont="1" applyBorder="1" applyAlignment="1">
      <alignment horizontal="center" vertical="top" wrapText="1"/>
    </xf>
    <xf numFmtId="49" fontId="0" fillId="0" borderId="41" xfId="0" applyNumberFormat="1" applyBorder="1"/>
    <xf numFmtId="49" fontId="0" fillId="0" borderId="10" xfId="0" applyNumberFormat="1" applyBorder="1" applyAlignment="1">
      <alignment horizontal="left"/>
    </xf>
    <xf numFmtId="49" fontId="0" fillId="0" borderId="7" xfId="0" applyNumberFormat="1" applyBorder="1"/>
    <xf numFmtId="0" fontId="0" fillId="0" borderId="1" xfId="0" applyBorder="1" applyAlignment="1">
      <alignment horizontal="left" wrapText="1" indent="2"/>
    </xf>
    <xf numFmtId="0" fontId="146" fillId="0" borderId="0" xfId="0" applyFont="1" applyAlignment="1">
      <alignment wrapText="1"/>
    </xf>
    <xf numFmtId="44" fontId="1" fillId="0" borderId="49" xfId="1" applyFont="1" applyBorder="1" applyAlignment="1">
      <alignment horizontal="center" vertical="center" wrapText="1"/>
    </xf>
    <xf numFmtId="0" fontId="0" fillId="2" borderId="2" xfId="0" applyFill="1" applyBorder="1"/>
    <xf numFmtId="3" fontId="0" fillId="5" borderId="3" xfId="0" applyNumberFormat="1" applyFill="1" applyBorder="1"/>
    <xf numFmtId="49" fontId="0" fillId="0" borderId="2" xfId="0" applyNumberFormat="1" applyBorder="1" applyAlignment="1">
      <alignment horizontal="right"/>
    </xf>
    <xf numFmtId="0" fontId="0" fillId="5" borderId="1" xfId="0" applyFill="1" applyBorder="1" applyProtection="1">
      <protection locked="0"/>
    </xf>
    <xf numFmtId="14" fontId="0" fillId="5" borderId="1" xfId="0" applyNumberFormat="1" applyFill="1" applyBorder="1" applyProtection="1">
      <protection locked="0"/>
    </xf>
    <xf numFmtId="0" fontId="0" fillId="5" borderId="1" xfId="0" applyFill="1" applyBorder="1" applyAlignment="1" applyProtection="1">
      <alignment wrapText="1"/>
      <protection locked="0"/>
    </xf>
    <xf numFmtId="0" fontId="0" fillId="0" borderId="0" xfId="0" applyAlignment="1">
      <alignment horizontal="left"/>
    </xf>
    <xf numFmtId="0" fontId="0" fillId="0" borderId="7" xfId="0" applyBorder="1" applyAlignment="1">
      <alignment horizontal="left"/>
    </xf>
    <xf numFmtId="49" fontId="0" fillId="0" borderId="0" xfId="0" applyNumberFormat="1" applyAlignment="1">
      <alignment horizontal="left"/>
    </xf>
    <xf numFmtId="49" fontId="0" fillId="0" borderId="7" xfId="0" applyNumberFormat="1" applyBorder="1" applyAlignment="1">
      <alignment horizontal="left"/>
    </xf>
    <xf numFmtId="0" fontId="0" fillId="0" borderId="9" xfId="0" applyBorder="1" applyAlignment="1">
      <alignment horizontal="left"/>
    </xf>
    <xf numFmtId="0" fontId="0" fillId="0" borderId="10" xfId="0" applyBorder="1" applyAlignment="1">
      <alignment horizontal="left"/>
    </xf>
    <xf numFmtId="0" fontId="0" fillId="2" borderId="11" xfId="0" applyFill="1" applyBorder="1" applyAlignment="1">
      <alignment horizontal="left"/>
    </xf>
    <xf numFmtId="0" fontId="0" fillId="2" borderId="12" xfId="0" applyFill="1" applyBorder="1" applyAlignment="1">
      <alignment horizontal="left"/>
    </xf>
    <xf numFmtId="0" fontId="0" fillId="2" borderId="13" xfId="0" applyFill="1" applyBorder="1" applyAlignment="1">
      <alignment horizontal="left"/>
    </xf>
    <xf numFmtId="0" fontId="0" fillId="0" borderId="17" xfId="0" applyBorder="1" applyAlignment="1">
      <alignment horizontal="left"/>
    </xf>
    <xf numFmtId="0" fontId="0" fillId="0" borderId="18" xfId="0" applyBorder="1" applyAlignment="1">
      <alignment horizontal="left"/>
    </xf>
    <xf numFmtId="0" fontId="0" fillId="0" borderId="19" xfId="0" applyBorder="1" applyAlignment="1">
      <alignment horizontal="left"/>
    </xf>
    <xf numFmtId="0" fontId="0" fillId="0" borderId="20" xfId="0" applyBorder="1" applyAlignment="1">
      <alignment horizontal="left"/>
    </xf>
    <xf numFmtId="0" fontId="0" fillId="0" borderId="21" xfId="0" applyBorder="1" applyAlignment="1">
      <alignment horizontal="left"/>
    </xf>
    <xf numFmtId="0" fontId="0" fillId="0" borderId="22" xfId="0" applyBorder="1" applyAlignment="1">
      <alignment horizontal="left"/>
    </xf>
    <xf numFmtId="0" fontId="126" fillId="0" borderId="12" xfId="7" applyBorder="1" applyAlignment="1">
      <alignment horizontal="center"/>
    </xf>
    <xf numFmtId="0" fontId="0" fillId="0" borderId="12" xfId="0" applyBorder="1" applyAlignment="1">
      <alignment horizontal="center"/>
    </xf>
    <xf numFmtId="0" fontId="0" fillId="0" borderId="13" xfId="0" applyBorder="1" applyAlignment="1">
      <alignment horizontal="center"/>
    </xf>
    <xf numFmtId="49" fontId="0" fillId="0" borderId="9" xfId="0" applyNumberFormat="1" applyBorder="1" applyAlignment="1">
      <alignment horizontal="center"/>
    </xf>
    <xf numFmtId="49" fontId="0" fillId="0" borderId="10" xfId="0" applyNumberFormat="1" applyBorder="1" applyAlignment="1">
      <alignment horizontal="center"/>
    </xf>
    <xf numFmtId="0" fontId="0" fillId="0" borderId="11" xfId="0" applyBorder="1" applyAlignment="1">
      <alignment horizontal="left"/>
    </xf>
    <xf numFmtId="0" fontId="0" fillId="0" borderId="12" xfId="0" applyBorder="1" applyAlignment="1">
      <alignment horizontal="left"/>
    </xf>
    <xf numFmtId="0" fontId="0" fillId="0" borderId="13" xfId="0" applyBorder="1" applyAlignment="1">
      <alignment horizontal="left"/>
    </xf>
    <xf numFmtId="0" fontId="0" fillId="0" borderId="40" xfId="0" applyBorder="1" applyAlignment="1">
      <alignment horizontal="left" wrapText="1"/>
    </xf>
    <xf numFmtId="0" fontId="0" fillId="0" borderId="12" xfId="0" applyBorder="1" applyAlignment="1">
      <alignment horizontal="left" wrapText="1"/>
    </xf>
    <xf numFmtId="0" fontId="0" fillId="0" borderId="13" xfId="0" applyBorder="1" applyAlignment="1">
      <alignment horizontal="left" wrapText="1"/>
    </xf>
    <xf numFmtId="0" fontId="1" fillId="2" borderId="11" xfId="0" applyFont="1" applyFill="1" applyBorder="1" applyAlignment="1">
      <alignment horizontal="right"/>
    </xf>
    <xf numFmtId="0" fontId="1" fillId="2" borderId="12" xfId="0" applyFont="1" applyFill="1" applyBorder="1" applyAlignment="1">
      <alignment horizontal="right"/>
    </xf>
    <xf numFmtId="0" fontId="1" fillId="2" borderId="13" xfId="0" applyFont="1" applyFill="1" applyBorder="1" applyAlignment="1">
      <alignment horizontal="right"/>
    </xf>
    <xf numFmtId="0" fontId="0" fillId="0" borderId="14" xfId="0" applyBorder="1" applyAlignment="1">
      <alignment horizontal="left"/>
    </xf>
    <xf numFmtId="0" fontId="0" fillId="0" borderId="15" xfId="0" applyBorder="1" applyAlignment="1">
      <alignment horizontal="left"/>
    </xf>
    <xf numFmtId="0" fontId="0" fillId="0" borderId="16" xfId="0" applyBorder="1" applyAlignment="1">
      <alignment horizontal="left"/>
    </xf>
    <xf numFmtId="0" fontId="0" fillId="0" borderId="40" xfId="0" applyBorder="1" applyAlignment="1">
      <alignment horizontal="center"/>
    </xf>
    <xf numFmtId="0" fontId="0" fillId="0" borderId="48" xfId="0" applyBorder="1" applyAlignment="1">
      <alignment horizontal="center"/>
    </xf>
    <xf numFmtId="0" fontId="0" fillId="0" borderId="41" xfId="0" applyBorder="1" applyAlignment="1">
      <alignment horizontal="center"/>
    </xf>
    <xf numFmtId="0" fontId="0" fillId="0" borderId="11" xfId="0" applyBorder="1" applyAlignment="1">
      <alignment horizontal="center"/>
    </xf>
    <xf numFmtId="0" fontId="1" fillId="2" borderId="8" xfId="0" applyFont="1" applyFill="1" applyBorder="1" applyAlignment="1">
      <alignment horizontal="right"/>
    </xf>
    <xf numFmtId="0" fontId="1" fillId="2" borderId="9" xfId="0" applyFont="1" applyFill="1" applyBorder="1" applyAlignment="1">
      <alignment horizontal="right"/>
    </xf>
    <xf numFmtId="0" fontId="2" fillId="3" borderId="39" xfId="0" applyFont="1" applyFill="1" applyBorder="1" applyAlignment="1">
      <alignment horizontal="center" vertical="center"/>
    </xf>
    <xf numFmtId="0" fontId="2" fillId="3" borderId="38" xfId="0" applyFont="1" applyFill="1" applyBorder="1" applyAlignment="1">
      <alignment horizontal="center" vertical="center"/>
    </xf>
    <xf numFmtId="0" fontId="2" fillId="3" borderId="2" xfId="0" applyFont="1" applyFill="1" applyBorder="1" applyAlignment="1">
      <alignment horizontal="center" vertical="center"/>
    </xf>
    <xf numFmtId="44" fontId="0" fillId="0" borderId="11" xfId="0" applyNumberFormat="1" applyBorder="1" applyAlignment="1">
      <alignment horizontal="center"/>
    </xf>
    <xf numFmtId="0" fontId="0" fillId="5" borderId="11" xfId="0" applyFill="1" applyBorder="1" applyAlignment="1">
      <alignment horizontal="center"/>
    </xf>
    <xf numFmtId="0" fontId="0" fillId="5" borderId="12" xfId="0" applyFill="1" applyBorder="1" applyAlignment="1">
      <alignment horizontal="center"/>
    </xf>
    <xf numFmtId="0" fontId="0" fillId="5" borderId="13" xfId="0" applyFill="1" applyBorder="1" applyAlignment="1">
      <alignment horizontal="center"/>
    </xf>
    <xf numFmtId="44" fontId="0" fillId="0" borderId="11" xfId="1" applyFont="1" applyBorder="1" applyAlignment="1">
      <alignment horizontal="center"/>
    </xf>
    <xf numFmtId="44" fontId="0" fillId="0" borderId="12" xfId="1" applyFont="1" applyBorder="1" applyAlignment="1">
      <alignment horizontal="center"/>
    </xf>
    <xf numFmtId="44" fontId="0" fillId="0" borderId="13" xfId="1" applyFont="1" applyBorder="1" applyAlignment="1">
      <alignment horizontal="center"/>
    </xf>
    <xf numFmtId="1" fontId="0" fillId="0" borderId="11" xfId="0" applyNumberFormat="1" applyBorder="1" applyAlignment="1">
      <alignment horizontal="center"/>
    </xf>
    <xf numFmtId="1" fontId="0" fillId="0" borderId="12" xfId="0" applyNumberFormat="1" applyBorder="1" applyAlignment="1">
      <alignment horizontal="center"/>
    </xf>
    <xf numFmtId="1" fontId="0" fillId="0" borderId="13" xfId="0" applyNumberFormat="1" applyBorder="1" applyAlignment="1">
      <alignment horizontal="center"/>
    </xf>
    <xf numFmtId="0" fontId="0" fillId="2" borderId="11" xfId="0" applyFill="1" applyBorder="1" applyAlignment="1">
      <alignment horizontal="left" wrapText="1"/>
    </xf>
    <xf numFmtId="44" fontId="0" fillId="0" borderId="8" xfId="0" applyNumberFormat="1" applyBorder="1" applyAlignment="1">
      <alignment horizontal="center"/>
    </xf>
    <xf numFmtId="44" fontId="0" fillId="0" borderId="10" xfId="0" applyNumberFormat="1" applyBorder="1" applyAlignment="1">
      <alignment horizontal="center"/>
    </xf>
    <xf numFmtId="44" fontId="0" fillId="0" borderId="13" xfId="0" applyNumberFormat="1" applyBorder="1" applyAlignment="1">
      <alignment horizontal="center"/>
    </xf>
    <xf numFmtId="0" fontId="0" fillId="0" borderId="39" xfId="0" applyBorder="1" applyAlignment="1">
      <alignment horizontal="left"/>
    </xf>
    <xf numFmtId="0" fontId="0" fillId="0" borderId="38" xfId="0" applyBorder="1" applyAlignment="1">
      <alignment horizontal="left"/>
    </xf>
    <xf numFmtId="0" fontId="0" fillId="0" borderId="2" xfId="0" applyBorder="1" applyAlignment="1">
      <alignment horizontal="left"/>
    </xf>
    <xf numFmtId="0" fontId="0" fillId="0" borderId="41" xfId="0" applyBorder="1" applyAlignment="1">
      <alignment horizontal="left" wrapText="1"/>
    </xf>
    <xf numFmtId="0" fontId="0" fillId="0" borderId="8" xfId="0" applyBorder="1" applyAlignment="1">
      <alignment horizontal="left" wrapText="1"/>
    </xf>
    <xf numFmtId="0" fontId="0" fillId="0" borderId="10" xfId="0" applyBorder="1" applyAlignment="1">
      <alignment horizontal="left" wrapText="1"/>
    </xf>
    <xf numFmtId="0" fontId="0" fillId="0" borderId="11" xfId="0" applyBorder="1" applyAlignment="1">
      <alignment horizontal="left" wrapText="1"/>
    </xf>
    <xf numFmtId="0" fontId="1" fillId="0" borderId="40" xfId="0" applyFont="1" applyBorder="1" applyAlignment="1">
      <alignment horizontal="center" vertical="center"/>
    </xf>
    <xf numFmtId="0" fontId="1" fillId="0" borderId="8" xfId="0" applyFont="1" applyBorder="1" applyAlignment="1">
      <alignment horizontal="center" vertical="center"/>
    </xf>
    <xf numFmtId="0" fontId="1" fillId="6" borderId="9" xfId="0" applyFont="1" applyFill="1" applyBorder="1" applyAlignment="1">
      <alignment horizontal="left"/>
    </xf>
    <xf numFmtId="0" fontId="0" fillId="5" borderId="11" xfId="0" applyFill="1" applyBorder="1" applyAlignment="1" applyProtection="1">
      <alignment horizontal="center"/>
      <protection locked="0"/>
    </xf>
    <xf numFmtId="0" fontId="0" fillId="5" borderId="13" xfId="0" applyFill="1" applyBorder="1" applyAlignment="1" applyProtection="1">
      <alignment horizontal="center"/>
      <protection locked="0"/>
    </xf>
    <xf numFmtId="0" fontId="0" fillId="0" borderId="39" xfId="0" applyBorder="1" applyAlignment="1">
      <alignment horizontal="center"/>
    </xf>
    <xf numFmtId="0" fontId="0" fillId="0" borderId="2" xfId="0" applyBorder="1" applyAlignment="1">
      <alignment horizontal="center"/>
    </xf>
    <xf numFmtId="0" fontId="0" fillId="0" borderId="38" xfId="0" applyBorder="1" applyAlignment="1">
      <alignment horizontal="center"/>
    </xf>
    <xf numFmtId="0" fontId="0" fillId="0" borderId="39" xfId="0" applyBorder="1" applyAlignment="1">
      <alignment horizontal="center" vertical="center"/>
    </xf>
    <xf numFmtId="0" fontId="0" fillId="0" borderId="2" xfId="0" applyBorder="1" applyAlignment="1">
      <alignment horizontal="center" vertical="center"/>
    </xf>
    <xf numFmtId="9" fontId="0" fillId="5" borderId="11" xfId="6" applyFont="1" applyFill="1" applyBorder="1" applyAlignment="1" applyProtection="1">
      <alignment horizontal="left"/>
      <protection locked="0"/>
    </xf>
    <xf numFmtId="9" fontId="0" fillId="5" borderId="12" xfId="6" applyFont="1" applyFill="1" applyBorder="1" applyAlignment="1" applyProtection="1">
      <alignment horizontal="left"/>
      <protection locked="0"/>
    </xf>
    <xf numFmtId="9" fontId="0" fillId="5" borderId="13" xfId="6" applyFont="1" applyFill="1" applyBorder="1" applyAlignment="1" applyProtection="1">
      <alignment horizontal="left"/>
      <protection locked="0"/>
    </xf>
    <xf numFmtId="0" fontId="0" fillId="5" borderId="40" xfId="0" applyFill="1" applyBorder="1" applyAlignment="1" applyProtection="1">
      <alignment horizontal="left"/>
      <protection locked="0"/>
    </xf>
    <xf numFmtId="0" fontId="0" fillId="5" borderId="48" xfId="0" applyFill="1" applyBorder="1" applyAlignment="1" applyProtection="1">
      <alignment horizontal="left"/>
      <protection locked="0"/>
    </xf>
    <xf numFmtId="0" fontId="0" fillId="5" borderId="41" xfId="0" applyFill="1" applyBorder="1" applyAlignment="1" applyProtection="1">
      <alignment horizontal="left"/>
      <protection locked="0"/>
    </xf>
    <xf numFmtId="0" fontId="0" fillId="5" borderId="8" xfId="0" applyFill="1" applyBorder="1" applyAlignment="1" applyProtection="1">
      <alignment horizontal="left"/>
      <protection locked="0"/>
    </xf>
    <xf numFmtId="0" fontId="0" fillId="5" borderId="9" xfId="0" applyFill="1" applyBorder="1" applyAlignment="1" applyProtection="1">
      <alignment horizontal="left"/>
      <protection locked="0"/>
    </xf>
    <xf numFmtId="0" fontId="0" fillId="5" borderId="10" xfId="0" applyFill="1" applyBorder="1" applyAlignment="1" applyProtection="1">
      <alignment horizontal="left"/>
      <protection locked="0"/>
    </xf>
    <xf numFmtId="0" fontId="0" fillId="5" borderId="40" xfId="0" applyFill="1" applyBorder="1" applyAlignment="1" applyProtection="1">
      <alignment horizontal="center"/>
      <protection locked="0"/>
    </xf>
    <xf numFmtId="0" fontId="0" fillId="5" borderId="48" xfId="0" applyFill="1" applyBorder="1" applyAlignment="1" applyProtection="1">
      <alignment horizontal="center"/>
      <protection locked="0"/>
    </xf>
    <xf numFmtId="0" fontId="0" fillId="5" borderId="41" xfId="0" applyFill="1" applyBorder="1" applyAlignment="1" applyProtection="1">
      <alignment horizontal="center"/>
      <protection locked="0"/>
    </xf>
    <xf numFmtId="0" fontId="0" fillId="5" borderId="8" xfId="0" applyFill="1" applyBorder="1" applyAlignment="1" applyProtection="1">
      <alignment horizontal="center"/>
      <protection locked="0"/>
    </xf>
    <xf numFmtId="0" fontId="0" fillId="5" borderId="9" xfId="0" applyFill="1" applyBorder="1" applyAlignment="1" applyProtection="1">
      <alignment horizontal="center"/>
      <protection locked="0"/>
    </xf>
    <xf numFmtId="0" fontId="0" fillId="5" borderId="10" xfId="0" applyFill="1" applyBorder="1" applyAlignment="1" applyProtection="1">
      <alignment horizontal="center"/>
      <protection locked="0"/>
    </xf>
    <xf numFmtId="0" fontId="127" fillId="0" borderId="0" xfId="7" applyFont="1" applyAlignment="1">
      <alignment horizontal="center"/>
    </xf>
    <xf numFmtId="0" fontId="0" fillId="0" borderId="69" xfId="0" applyBorder="1" applyAlignment="1">
      <alignment horizontal="left" vertical="top" wrapText="1"/>
    </xf>
    <xf numFmtId="0" fontId="30" fillId="0" borderId="67" xfId="0" applyFont="1" applyBorder="1" applyAlignment="1">
      <alignment horizontal="left" vertical="top" wrapText="1"/>
    </xf>
    <xf numFmtId="0" fontId="0" fillId="0" borderId="0" xfId="0" applyAlignment="1">
      <alignment horizontal="center" vertical="top"/>
    </xf>
    <xf numFmtId="0" fontId="35" fillId="0" borderId="69" xfId="0" applyFont="1" applyBorder="1" applyAlignment="1">
      <alignment horizontal="left" vertical="top" wrapText="1"/>
    </xf>
    <xf numFmtId="0" fontId="115" fillId="0" borderId="0" xfId="5" applyFont="1" applyAlignment="1">
      <alignment horizontal="left" vertical="top" wrapText="1"/>
    </xf>
    <xf numFmtId="164" fontId="24" fillId="0" borderId="53" xfId="5" applyNumberFormat="1" applyFont="1" applyBorder="1" applyAlignment="1">
      <alignment horizontal="left" vertical="top" wrapText="1"/>
    </xf>
    <xf numFmtId="164" fontId="24" fillId="0" borderId="0" xfId="5" applyNumberFormat="1" applyFont="1" applyAlignment="1">
      <alignment horizontal="left" vertical="top" wrapText="1"/>
    </xf>
    <xf numFmtId="164" fontId="24" fillId="0" borderId="60" xfId="5" applyNumberFormat="1" applyFont="1" applyBorder="1" applyAlignment="1">
      <alignment horizontal="left" vertical="top" wrapText="1"/>
    </xf>
    <xf numFmtId="167" fontId="24" fillId="0" borderId="53" xfId="5" applyNumberFormat="1" applyFont="1" applyBorder="1" applyAlignment="1">
      <alignment horizontal="left" vertical="top" wrapText="1"/>
    </xf>
    <xf numFmtId="167" fontId="24" fillId="0" borderId="0" xfId="5" applyNumberFormat="1" applyFont="1" applyAlignment="1">
      <alignment horizontal="left" vertical="top" wrapText="1"/>
    </xf>
    <xf numFmtId="167" fontId="24" fillId="0" borderId="60" xfId="5" applyNumberFormat="1" applyFont="1" applyBorder="1" applyAlignment="1">
      <alignment horizontal="left" vertical="top" wrapText="1"/>
    </xf>
    <xf numFmtId="0" fontId="92" fillId="0" borderId="62" xfId="5" applyBorder="1" applyAlignment="1">
      <alignment horizontal="left" vertical="top" wrapText="1"/>
    </xf>
    <xf numFmtId="0" fontId="92" fillId="0" borderId="18" xfId="5" applyBorder="1" applyAlignment="1">
      <alignment horizontal="left" vertical="top" wrapText="1"/>
    </xf>
    <xf numFmtId="0" fontId="92" fillId="0" borderId="63" xfId="5" applyBorder="1" applyAlignment="1">
      <alignment horizontal="left" vertical="top" wrapText="1"/>
    </xf>
    <xf numFmtId="166" fontId="26" fillId="0" borderId="24" xfId="5" applyNumberFormat="1" applyFont="1" applyBorder="1" applyAlignment="1">
      <alignment horizontal="left" vertical="top" wrapText="1"/>
    </xf>
    <xf numFmtId="166" fontId="26" fillId="0" borderId="25" xfId="5" applyNumberFormat="1" applyFont="1" applyBorder="1" applyAlignment="1">
      <alignment horizontal="left" vertical="top" wrapText="1"/>
    </xf>
    <xf numFmtId="166" fontId="26" fillId="0" borderId="26" xfId="5" applyNumberFormat="1" applyFont="1" applyBorder="1" applyAlignment="1">
      <alignment horizontal="left" vertical="top" wrapText="1"/>
    </xf>
    <xf numFmtId="0" fontId="23" fillId="0" borderId="24" xfId="5" applyFont="1" applyBorder="1" applyAlignment="1">
      <alignment horizontal="left" vertical="top" wrapText="1"/>
    </xf>
    <xf numFmtId="0" fontId="43" fillId="0" borderId="25" xfId="5" applyFont="1" applyBorder="1" applyAlignment="1">
      <alignment horizontal="left" vertical="top" wrapText="1"/>
    </xf>
    <xf numFmtId="0" fontId="43" fillId="0" borderId="26" xfId="5" applyFont="1" applyBorder="1" applyAlignment="1">
      <alignment horizontal="left" vertical="top" wrapText="1"/>
    </xf>
    <xf numFmtId="0" fontId="46" fillId="0" borderId="24" xfId="5" applyFont="1" applyBorder="1" applyAlignment="1">
      <alignment horizontal="left" vertical="top" wrapText="1"/>
    </xf>
    <xf numFmtId="0" fontId="46" fillId="0" borderId="25" xfId="5" applyFont="1" applyBorder="1" applyAlignment="1">
      <alignment horizontal="left" vertical="top" wrapText="1"/>
    </xf>
    <xf numFmtId="0" fontId="46" fillId="0" borderId="26" xfId="5" applyFont="1" applyBorder="1" applyAlignment="1">
      <alignment horizontal="left" vertical="top" wrapText="1"/>
    </xf>
    <xf numFmtId="0" fontId="96" fillId="0" borderId="24" xfId="5" applyFont="1" applyBorder="1" applyAlignment="1">
      <alignment horizontal="left" vertical="top" wrapText="1"/>
    </xf>
    <xf numFmtId="0" fontId="96" fillId="0" borderId="25" xfId="5" applyFont="1" applyBorder="1" applyAlignment="1">
      <alignment horizontal="left" vertical="top" wrapText="1"/>
    </xf>
    <xf numFmtId="0" fontId="96" fillId="0" borderId="26" xfId="5" applyFont="1" applyBorder="1" applyAlignment="1">
      <alignment horizontal="left" vertical="top" wrapText="1"/>
    </xf>
    <xf numFmtId="0" fontId="43" fillId="0" borderId="24" xfId="5" applyFont="1" applyBorder="1" applyAlignment="1">
      <alignment horizontal="left" vertical="top" wrapText="1"/>
    </xf>
    <xf numFmtId="0" fontId="92" fillId="0" borderId="0" xfId="5" applyAlignment="1">
      <alignment horizontal="center" vertical="top"/>
    </xf>
    <xf numFmtId="0" fontId="98" fillId="0" borderId="0" xfId="5" applyFont="1" applyAlignment="1">
      <alignment horizontal="center" vertical="top"/>
    </xf>
    <xf numFmtId="0" fontId="92" fillId="0" borderId="24" xfId="5" applyBorder="1" applyAlignment="1">
      <alignment horizontal="left" vertical="center" wrapText="1"/>
    </xf>
    <xf numFmtId="0" fontId="92" fillId="0" borderId="25" xfId="5" applyBorder="1" applyAlignment="1">
      <alignment horizontal="left" vertical="center" wrapText="1"/>
    </xf>
    <xf numFmtId="0" fontId="92" fillId="0" borderId="26" xfId="5" applyBorder="1" applyAlignment="1">
      <alignment horizontal="left" vertical="center" wrapText="1"/>
    </xf>
    <xf numFmtId="0" fontId="5" fillId="0" borderId="64" xfId="5" applyFont="1" applyBorder="1" applyAlignment="1">
      <alignment horizontal="left" vertical="top" wrapText="1"/>
    </xf>
    <xf numFmtId="0" fontId="92" fillId="0" borderId="27" xfId="5" applyBorder="1" applyAlignment="1">
      <alignment horizontal="left" vertical="top" wrapText="1"/>
    </xf>
    <xf numFmtId="0" fontId="92" fillId="0" borderId="28" xfId="5" applyBorder="1" applyAlignment="1">
      <alignment horizontal="left" vertical="top" wrapText="1"/>
    </xf>
    <xf numFmtId="0" fontId="92" fillId="0" borderId="29" xfId="5" applyBorder="1" applyAlignment="1">
      <alignment horizontal="left" vertical="top" wrapText="1"/>
    </xf>
    <xf numFmtId="0" fontId="92" fillId="0" borderId="31" xfId="5" applyBorder="1" applyAlignment="1">
      <alignment horizontal="left" vertical="top" wrapText="1"/>
    </xf>
    <xf numFmtId="0" fontId="92" fillId="0" borderId="32" xfId="5" applyBorder="1" applyAlignment="1">
      <alignment horizontal="left" vertical="top" wrapText="1"/>
    </xf>
    <xf numFmtId="0" fontId="92" fillId="0" borderId="33" xfId="5" applyBorder="1" applyAlignment="1">
      <alignment horizontal="left" vertical="top" wrapText="1"/>
    </xf>
    <xf numFmtId="0" fontId="92" fillId="0" borderId="30" xfId="5" applyBorder="1" applyAlignment="1">
      <alignment horizontal="left" vertical="top" wrapText="1"/>
    </xf>
    <xf numFmtId="0" fontId="92" fillId="0" borderId="34" xfId="5" applyBorder="1" applyAlignment="1">
      <alignment horizontal="left" vertical="top" wrapText="1"/>
    </xf>
    <xf numFmtId="0" fontId="92" fillId="0" borderId="71" xfId="5" applyBorder="1" applyAlignment="1">
      <alignment horizontal="left" vertical="top" wrapText="1"/>
    </xf>
    <xf numFmtId="0" fontId="92" fillId="0" borderId="72" xfId="5" applyBorder="1" applyAlignment="1">
      <alignment horizontal="left" vertical="top" wrapText="1"/>
    </xf>
    <xf numFmtId="168" fontId="24" fillId="0" borderId="53" xfId="5" applyNumberFormat="1" applyFont="1" applyBorder="1" applyAlignment="1">
      <alignment horizontal="center" vertical="top" wrapText="1"/>
    </xf>
    <xf numFmtId="168" fontId="24" fillId="0" borderId="60" xfId="5" applyNumberFormat="1" applyFont="1" applyBorder="1" applyAlignment="1">
      <alignment horizontal="center" vertical="top" wrapText="1"/>
    </xf>
    <xf numFmtId="0" fontId="112" fillId="0" borderId="24" xfId="5" applyFont="1" applyBorder="1" applyAlignment="1">
      <alignment horizontal="left" vertical="top" wrapText="1"/>
    </xf>
    <xf numFmtId="0" fontId="92" fillId="0" borderId="25" xfId="5" applyBorder="1" applyAlignment="1">
      <alignment horizontal="left" vertical="top" wrapText="1"/>
    </xf>
    <xf numFmtId="0" fontId="92" fillId="0" borderId="26" xfId="5" applyBorder="1" applyAlignment="1">
      <alignment horizontal="left" vertical="top" wrapText="1"/>
    </xf>
    <xf numFmtId="0" fontId="95" fillId="0" borderId="69" xfId="5" applyFont="1" applyBorder="1" applyAlignment="1">
      <alignment horizontal="left" vertical="top" wrapText="1"/>
    </xf>
    <xf numFmtId="166" fontId="26" fillId="0" borderId="70" xfId="5" applyNumberFormat="1" applyFont="1" applyBorder="1" applyAlignment="1">
      <alignment horizontal="left" vertical="top" wrapText="1"/>
    </xf>
    <xf numFmtId="0" fontId="92" fillId="0" borderId="69" xfId="5" applyBorder="1" applyAlignment="1">
      <alignment horizontal="left" vertical="top" wrapText="1"/>
    </xf>
    <xf numFmtId="0" fontId="43" fillId="0" borderId="32" xfId="5" applyFont="1" applyBorder="1" applyAlignment="1">
      <alignment horizontal="left" vertical="top" wrapText="1"/>
    </xf>
    <xf numFmtId="0" fontId="96" fillId="0" borderId="27" xfId="5" applyFont="1" applyBorder="1" applyAlignment="1">
      <alignment horizontal="left" vertical="top" wrapText="1"/>
    </xf>
    <xf numFmtId="0" fontId="96" fillId="0" borderId="28" xfId="5" applyFont="1" applyBorder="1" applyAlignment="1">
      <alignment horizontal="left" vertical="top" wrapText="1"/>
    </xf>
    <xf numFmtId="0" fontId="96" fillId="0" borderId="29" xfId="5" applyFont="1" applyBorder="1" applyAlignment="1">
      <alignment horizontal="left" vertical="top" wrapText="1"/>
    </xf>
    <xf numFmtId="0" fontId="93" fillId="0" borderId="92" xfId="5" applyFont="1" applyBorder="1" applyAlignment="1">
      <alignment horizontal="center" vertical="top" wrapText="1"/>
    </xf>
    <xf numFmtId="0" fontId="93" fillId="0" borderId="85" xfId="5" applyFont="1" applyBorder="1" applyAlignment="1">
      <alignment horizontal="center" vertical="top" wrapText="1"/>
    </xf>
    <xf numFmtId="0" fontId="93" fillId="0" borderId="93" xfId="5" applyFont="1" applyBorder="1" applyAlignment="1">
      <alignment horizontal="center" vertical="top" wrapText="1"/>
    </xf>
    <xf numFmtId="0" fontId="93" fillId="0" borderId="94" xfId="5" applyFont="1" applyBorder="1" applyAlignment="1">
      <alignment horizontal="right" vertical="top" wrapText="1"/>
    </xf>
    <xf numFmtId="0" fontId="93" fillId="0" borderId="25" xfId="5" applyFont="1" applyBorder="1" applyAlignment="1">
      <alignment horizontal="right" vertical="top" wrapText="1"/>
    </xf>
    <xf numFmtId="0" fontId="93" fillId="0" borderId="26" xfId="5" applyFont="1" applyBorder="1" applyAlignment="1">
      <alignment horizontal="right" vertical="top" wrapText="1"/>
    </xf>
    <xf numFmtId="0" fontId="134" fillId="0" borderId="94" xfId="5" applyFont="1" applyBorder="1" applyAlignment="1">
      <alignment horizontal="left" vertical="top" wrapText="1"/>
    </xf>
    <xf numFmtId="0" fontId="134" fillId="0" borderId="25" xfId="5" applyFont="1" applyBorder="1" applyAlignment="1">
      <alignment horizontal="left" vertical="top" wrapText="1"/>
    </xf>
    <xf numFmtId="0" fontId="136" fillId="0" borderId="25" xfId="5" applyFont="1" applyBorder="1" applyAlignment="1">
      <alignment horizontal="left" vertical="top" wrapText="1"/>
    </xf>
    <xf numFmtId="0" fontId="136" fillId="0" borderId="26" xfId="5" applyFont="1" applyBorder="1" applyAlignment="1">
      <alignment horizontal="left" vertical="top" wrapText="1"/>
    </xf>
    <xf numFmtId="0" fontId="134" fillId="0" borderId="24" xfId="5" applyFont="1" applyBorder="1" applyAlignment="1">
      <alignment horizontal="left" vertical="top" wrapText="1"/>
    </xf>
    <xf numFmtId="0" fontId="136" fillId="0" borderId="96" xfId="5" applyFont="1" applyBorder="1" applyAlignment="1">
      <alignment horizontal="left" vertical="top" wrapText="1"/>
    </xf>
    <xf numFmtId="0" fontId="135" fillId="0" borderId="97" xfId="5" applyFont="1" applyBorder="1" applyAlignment="1">
      <alignment horizontal="left" vertical="top" wrapText="1"/>
    </xf>
    <xf numFmtId="0" fontId="135" fillId="0" borderId="28" xfId="5" applyFont="1" applyBorder="1" applyAlignment="1">
      <alignment horizontal="left" vertical="top" wrapText="1"/>
    </xf>
    <xf numFmtId="0" fontId="92" fillId="0" borderId="53" xfId="5" applyBorder="1" applyAlignment="1">
      <alignment horizontal="right" vertical="top" wrapText="1"/>
    </xf>
    <xf numFmtId="0" fontId="92" fillId="0" borderId="0" xfId="5" applyAlignment="1">
      <alignment horizontal="right" vertical="top" wrapText="1"/>
    </xf>
    <xf numFmtId="0" fontId="92" fillId="0" borderId="7" xfId="5" applyBorder="1" applyAlignment="1">
      <alignment horizontal="right" vertical="top" wrapText="1"/>
    </xf>
    <xf numFmtId="14" fontId="136" fillId="0" borderId="25" xfId="5" applyNumberFormat="1" applyFont="1" applyBorder="1" applyAlignment="1">
      <alignment horizontal="left" vertical="top" wrapText="1"/>
    </xf>
    <xf numFmtId="0" fontId="135" fillId="0" borderId="29" xfId="5" applyFont="1" applyBorder="1" applyAlignment="1">
      <alignment horizontal="left" vertical="top" wrapText="1"/>
    </xf>
    <xf numFmtId="0" fontId="135" fillId="0" borderId="24" xfId="5" applyFont="1" applyBorder="1" applyAlignment="1">
      <alignment horizontal="left" vertical="top" wrapText="1"/>
    </xf>
    <xf numFmtId="0" fontId="135" fillId="0" borderId="25" xfId="5" applyFont="1" applyBorder="1" applyAlignment="1">
      <alignment horizontal="left" vertical="top" wrapText="1"/>
    </xf>
    <xf numFmtId="0" fontId="135" fillId="0" borderId="96" xfId="5" applyFont="1" applyBorder="1" applyAlignment="1">
      <alignment horizontal="left" vertical="top" wrapText="1"/>
    </xf>
    <xf numFmtId="0" fontId="92" fillId="0" borderId="6" xfId="5" applyBorder="1" applyAlignment="1">
      <alignment horizontal="left" vertical="top" wrapText="1"/>
    </xf>
    <xf numFmtId="0" fontId="92" fillId="0" borderId="0" xfId="5" applyAlignment="1">
      <alignment horizontal="left" vertical="top" wrapText="1"/>
    </xf>
    <xf numFmtId="0" fontId="92" fillId="0" borderId="60" xfId="5" applyBorder="1" applyAlignment="1">
      <alignment horizontal="left" vertical="top" wrapText="1"/>
    </xf>
    <xf numFmtId="0" fontId="92" fillId="0" borderId="87" xfId="5" applyBorder="1" applyAlignment="1">
      <alignment horizontal="left" vertical="top" wrapText="1"/>
    </xf>
    <xf numFmtId="0" fontId="92" fillId="0" borderId="24" xfId="5" applyBorder="1" applyAlignment="1">
      <alignment horizontal="right" vertical="top"/>
    </xf>
    <xf numFmtId="0" fontId="92" fillId="0" borderId="25" xfId="5" applyBorder="1" applyAlignment="1">
      <alignment horizontal="right" vertical="top"/>
    </xf>
    <xf numFmtId="0" fontId="92" fillId="0" borderId="96" xfId="5" applyBorder="1" applyAlignment="1">
      <alignment horizontal="right" vertical="top"/>
    </xf>
    <xf numFmtId="0" fontId="92" fillId="0" borderId="96" xfId="5" applyBorder="1" applyAlignment="1">
      <alignment horizontal="left" vertical="top" wrapText="1"/>
    </xf>
    <xf numFmtId="0" fontId="92" fillId="0" borderId="24" xfId="5" applyBorder="1" applyAlignment="1">
      <alignment horizontal="right" vertical="top" wrapText="1"/>
    </xf>
    <xf numFmtId="0" fontId="92" fillId="0" borderId="25" xfId="5" applyBorder="1" applyAlignment="1">
      <alignment horizontal="right" vertical="top" wrapText="1"/>
    </xf>
    <xf numFmtId="0" fontId="92" fillId="0" borderId="96" xfId="5" applyBorder="1" applyAlignment="1">
      <alignment horizontal="right" vertical="top" wrapText="1"/>
    </xf>
    <xf numFmtId="0" fontId="135" fillId="0" borderId="27" xfId="5" applyFont="1" applyBorder="1" applyAlignment="1">
      <alignment horizontal="left" vertical="top" wrapText="1"/>
    </xf>
    <xf numFmtId="0" fontId="92" fillId="0" borderId="98" xfId="5" applyBorder="1" applyAlignment="1">
      <alignment horizontal="left" vertical="top" wrapText="1"/>
    </xf>
    <xf numFmtId="0" fontId="90" fillId="0" borderId="97" xfId="5" applyFont="1" applyBorder="1" applyAlignment="1">
      <alignment horizontal="left" vertical="top"/>
    </xf>
    <xf numFmtId="0" fontId="90" fillId="0" borderId="28" xfId="5" applyFont="1" applyBorder="1" applyAlignment="1">
      <alignment horizontal="left" vertical="top"/>
    </xf>
    <xf numFmtId="0" fontId="90" fillId="0" borderId="29" xfId="5" applyFont="1" applyBorder="1" applyAlignment="1">
      <alignment horizontal="left" vertical="top"/>
    </xf>
    <xf numFmtId="0" fontId="92" fillId="0" borderId="6" xfId="5" applyBorder="1" applyAlignment="1">
      <alignment horizontal="left" vertical="top"/>
    </xf>
    <xf numFmtId="0" fontId="92" fillId="0" borderId="0" xfId="5" applyAlignment="1">
      <alignment horizontal="left" vertical="top"/>
    </xf>
    <xf numFmtId="0" fontId="92" fillId="0" borderId="87" xfId="5" applyBorder="1" applyAlignment="1">
      <alignment horizontal="left" vertical="top"/>
    </xf>
    <xf numFmtId="0" fontId="92" fillId="0" borderId="32" xfId="5" applyBorder="1" applyAlignment="1">
      <alignment horizontal="left" vertical="top"/>
    </xf>
    <xf numFmtId="0" fontId="135" fillId="0" borderId="86" xfId="5" applyFont="1" applyBorder="1" applyAlignment="1">
      <alignment horizontal="left" vertical="top" wrapText="1"/>
    </xf>
    <xf numFmtId="0" fontId="135" fillId="0" borderId="99" xfId="5" applyFont="1" applyBorder="1" applyAlignment="1">
      <alignment horizontal="left" vertical="top" wrapText="1"/>
    </xf>
    <xf numFmtId="0" fontId="135" fillId="0" borderId="100" xfId="5" applyFont="1" applyBorder="1" applyAlignment="1">
      <alignment horizontal="left" vertical="top" wrapText="1"/>
    </xf>
    <xf numFmtId="0" fontId="45" fillId="0" borderId="66" xfId="5" applyFont="1" applyBorder="1" applyAlignment="1">
      <alignment horizontal="right" vertical="top" wrapText="1"/>
    </xf>
    <xf numFmtId="0" fontId="45" fillId="0" borderId="67" xfId="5" applyFont="1" applyBorder="1" applyAlignment="1">
      <alignment horizontal="right" vertical="top" wrapText="1"/>
    </xf>
    <xf numFmtId="0" fontId="45" fillId="0" borderId="59" xfId="5" applyFont="1" applyBorder="1" applyAlignment="1">
      <alignment horizontal="right" vertical="top" wrapText="1"/>
    </xf>
    <xf numFmtId="0" fontId="135" fillId="0" borderId="125" xfId="5" applyFont="1" applyBorder="1" applyAlignment="1">
      <alignment horizontal="left" vertical="top" wrapText="1"/>
    </xf>
    <xf numFmtId="14" fontId="45" fillId="0" borderId="77" xfId="5" applyNumberFormat="1" applyFont="1" applyBorder="1" applyAlignment="1">
      <alignment horizontal="right" vertical="top" wrapText="1"/>
    </xf>
    <xf numFmtId="14" fontId="45" fillId="0" borderId="73" xfId="5" applyNumberFormat="1" applyFont="1" applyBorder="1" applyAlignment="1">
      <alignment horizontal="right" vertical="top" wrapText="1"/>
    </xf>
    <xf numFmtId="14" fontId="45" fillId="0" borderId="101" xfId="5" applyNumberFormat="1" applyFont="1" applyBorder="1" applyAlignment="1">
      <alignment horizontal="right" vertical="top" wrapText="1"/>
    </xf>
    <xf numFmtId="0" fontId="135" fillId="0" borderId="70" xfId="5" applyFont="1" applyBorder="1" applyAlignment="1">
      <alignment horizontal="left" vertical="top" wrapText="1"/>
    </xf>
    <xf numFmtId="0" fontId="135" fillId="0" borderId="120" xfId="5" applyFont="1" applyBorder="1" applyAlignment="1">
      <alignment horizontal="right" vertical="top" wrapText="1"/>
    </xf>
    <xf numFmtId="0" fontId="134" fillId="0" borderId="90" xfId="5" applyFont="1" applyBorder="1" applyAlignment="1">
      <alignment horizontal="right" vertical="top" wrapText="1"/>
    </xf>
    <xf numFmtId="0" fontId="134" fillId="0" borderId="102" xfId="5" applyFont="1" applyBorder="1" applyAlignment="1">
      <alignment horizontal="right" vertical="top" wrapText="1"/>
    </xf>
    <xf numFmtId="0" fontId="63" fillId="0" borderId="6" xfId="5" applyFont="1" applyBorder="1" applyAlignment="1">
      <alignment horizontal="left" vertical="top" wrapText="1"/>
    </xf>
    <xf numFmtId="0" fontId="63" fillId="0" borderId="0" xfId="5" applyFont="1" applyAlignment="1">
      <alignment horizontal="left" vertical="top" wrapText="1"/>
    </xf>
    <xf numFmtId="0" fontId="63" fillId="0" borderId="8" xfId="5" applyFont="1" applyBorder="1" applyAlignment="1">
      <alignment horizontal="left" vertical="top" wrapText="1"/>
    </xf>
    <xf numFmtId="0" fontId="63" fillId="0" borderId="9" xfId="5" applyFont="1" applyBorder="1" applyAlignment="1">
      <alignment horizontal="left" vertical="top" wrapText="1"/>
    </xf>
    <xf numFmtId="0" fontId="134" fillId="0" borderId="104" xfId="5" applyFont="1" applyBorder="1" applyAlignment="1">
      <alignment horizontal="right" vertical="top" wrapText="1"/>
    </xf>
    <xf numFmtId="0" fontId="134" fillId="0" borderId="105" xfId="5" applyFont="1" applyBorder="1" applyAlignment="1">
      <alignment horizontal="right" vertical="top" wrapText="1"/>
    </xf>
    <xf numFmtId="168" fontId="137" fillId="0" borderId="89" xfId="5" applyNumberFormat="1" applyFont="1" applyBorder="1" applyAlignment="1">
      <alignment horizontal="left" vertical="top" wrapText="1"/>
    </xf>
    <xf numFmtId="168" fontId="137" fillId="0" borderId="90" xfId="5" applyNumberFormat="1" applyFont="1" applyBorder="1" applyAlignment="1">
      <alignment horizontal="left" vertical="top" wrapText="1"/>
    </xf>
    <xf numFmtId="168" fontId="137" fillId="0" borderId="102" xfId="5" applyNumberFormat="1" applyFont="1" applyBorder="1" applyAlignment="1">
      <alignment horizontal="left" vertical="top" wrapText="1"/>
    </xf>
    <xf numFmtId="0" fontId="134" fillId="0" borderId="94" xfId="5" applyFont="1" applyBorder="1" applyAlignment="1">
      <alignment horizontal="right" vertical="top" wrapText="1"/>
    </xf>
    <xf numFmtId="0" fontId="134" fillId="0" borderId="25" xfId="5" applyFont="1" applyBorder="1" applyAlignment="1">
      <alignment horizontal="right" vertical="top" wrapText="1"/>
    </xf>
    <xf numFmtId="0" fontId="92" fillId="0" borderId="118" xfId="5" applyBorder="1" applyAlignment="1">
      <alignment horizontal="left" vertical="top" wrapText="1"/>
    </xf>
    <xf numFmtId="43" fontId="137" fillId="0" borderId="121" xfId="2" applyFont="1" applyFill="1" applyBorder="1" applyAlignment="1">
      <alignment horizontal="center" vertical="top" wrapText="1"/>
    </xf>
    <xf numFmtId="43" fontId="137" fillId="0" borderId="122" xfId="2" applyFont="1" applyFill="1" applyBorder="1" applyAlignment="1">
      <alignment horizontal="center" vertical="top" wrapText="1"/>
    </xf>
    <xf numFmtId="168" fontId="137" fillId="0" borderId="118" xfId="5" applyNumberFormat="1" applyFont="1" applyBorder="1" applyAlignment="1">
      <alignment horizontal="center" vertical="top" wrapText="1"/>
    </xf>
    <xf numFmtId="168" fontId="137" fillId="0" borderId="119" xfId="5" applyNumberFormat="1" applyFont="1" applyBorder="1" applyAlignment="1">
      <alignment horizontal="center" vertical="top" wrapText="1"/>
    </xf>
    <xf numFmtId="166" fontId="137" fillId="0" borderId="118" xfId="5" applyNumberFormat="1" applyFont="1" applyBorder="1" applyAlignment="1">
      <alignment horizontal="center" vertical="top" wrapText="1"/>
    </xf>
    <xf numFmtId="0" fontId="136" fillId="0" borderId="25" xfId="5" applyFont="1" applyBorder="1" applyAlignment="1">
      <alignment horizontal="center" vertical="top" wrapText="1"/>
    </xf>
    <xf numFmtId="0" fontId="136" fillId="0" borderId="96" xfId="5" applyFont="1" applyBorder="1" applyAlignment="1">
      <alignment horizontal="center" vertical="top" wrapText="1"/>
    </xf>
    <xf numFmtId="167" fontId="137" fillId="0" borderId="118" xfId="5" applyNumberFormat="1" applyFont="1" applyBorder="1" applyAlignment="1">
      <alignment horizontal="center" vertical="top" wrapText="1"/>
    </xf>
    <xf numFmtId="0" fontId="134" fillId="0" borderId="11" xfId="5" applyFont="1" applyBorder="1" applyAlignment="1">
      <alignment horizontal="center" vertical="top" wrapText="1"/>
    </xf>
    <xf numFmtId="0" fontId="134" fillId="0" borderId="12" xfId="5" applyFont="1" applyBorder="1" applyAlignment="1">
      <alignment horizontal="center" vertical="top" wrapText="1"/>
    </xf>
    <xf numFmtId="0" fontId="134" fillId="0" borderId="13" xfId="5" applyFont="1" applyBorder="1" applyAlignment="1">
      <alignment horizontal="center" vertical="top" wrapText="1"/>
    </xf>
    <xf numFmtId="0" fontId="90" fillId="0" borderId="11" xfId="5" applyFont="1" applyBorder="1" applyAlignment="1">
      <alignment horizontal="center" wrapText="1"/>
    </xf>
    <xf numFmtId="0" fontId="90" fillId="0" borderId="12" xfId="5" applyFont="1" applyBorder="1" applyAlignment="1">
      <alignment horizontal="center" wrapText="1"/>
    </xf>
    <xf numFmtId="0" fontId="90" fillId="0" borderId="11" xfId="5" applyFont="1" applyBorder="1" applyAlignment="1">
      <alignment horizontal="center" vertical="top" wrapText="1"/>
    </xf>
    <xf numFmtId="0" fontId="90" fillId="0" borderId="12" xfId="5" applyFont="1" applyBorder="1" applyAlignment="1">
      <alignment horizontal="center" vertical="top" wrapText="1"/>
    </xf>
    <xf numFmtId="0" fontId="90" fillId="0" borderId="13" xfId="5" applyFont="1" applyBorder="1" applyAlignment="1">
      <alignment horizontal="center" vertical="top" wrapText="1"/>
    </xf>
    <xf numFmtId="0" fontId="135" fillId="0" borderId="87" xfId="5" applyFont="1" applyBorder="1" applyAlignment="1">
      <alignment horizontal="right" vertical="top" wrapText="1"/>
    </xf>
    <xf numFmtId="0" fontId="92" fillId="0" borderId="32" xfId="5" applyBorder="1" applyAlignment="1">
      <alignment horizontal="right" vertical="top" wrapText="1"/>
    </xf>
    <xf numFmtId="0" fontId="92" fillId="0" borderId="33" xfId="5" applyBorder="1" applyAlignment="1">
      <alignment horizontal="right" vertical="top" wrapText="1"/>
    </xf>
    <xf numFmtId="168" fontId="137" fillId="0" borderId="31" xfId="5" applyNumberFormat="1" applyFont="1" applyBorder="1" applyAlignment="1">
      <alignment horizontal="left" vertical="top" wrapText="1"/>
    </xf>
    <xf numFmtId="168" fontId="137" fillId="0" borderId="32" xfId="5" applyNumberFormat="1" applyFont="1" applyBorder="1" applyAlignment="1">
      <alignment horizontal="left" vertical="top" wrapText="1"/>
    </xf>
    <xf numFmtId="168" fontId="137" fillId="0" borderId="106" xfId="5" applyNumberFormat="1" applyFont="1" applyBorder="1" applyAlignment="1">
      <alignment horizontal="left" vertical="top" wrapText="1"/>
    </xf>
    <xf numFmtId="0" fontId="134" fillId="0" borderId="110" xfId="5" applyFont="1" applyBorder="1" applyAlignment="1">
      <alignment horizontal="center" vertical="top" wrapText="1"/>
    </xf>
    <xf numFmtId="0" fontId="134" fillId="0" borderId="8" xfId="5" applyFont="1" applyBorder="1" applyAlignment="1">
      <alignment horizontal="right" vertical="top" wrapText="1"/>
    </xf>
    <xf numFmtId="0" fontId="134" fillId="0" borderId="9" xfId="5" applyFont="1" applyBorder="1" applyAlignment="1">
      <alignment horizontal="right" vertical="top" wrapText="1"/>
    </xf>
    <xf numFmtId="0" fontId="134" fillId="0" borderId="88" xfId="5" applyFont="1" applyBorder="1" applyAlignment="1">
      <alignment horizontal="right" vertical="top" wrapText="1"/>
    </xf>
    <xf numFmtId="168" fontId="137" fillId="0" borderId="124" xfId="5" applyNumberFormat="1" applyFont="1" applyBorder="1" applyAlignment="1">
      <alignment horizontal="left" vertical="top" wrapText="1"/>
    </xf>
    <xf numFmtId="168" fontId="137" fillId="0" borderId="9" xfId="5" applyNumberFormat="1" applyFont="1" applyBorder="1" applyAlignment="1">
      <alignment horizontal="left" vertical="top" wrapText="1"/>
    </xf>
    <xf numFmtId="168" fontId="137" fillId="0" borderId="10" xfId="5" applyNumberFormat="1" applyFont="1" applyBorder="1" applyAlignment="1">
      <alignment horizontal="left" vertical="top" wrapText="1"/>
    </xf>
    <xf numFmtId="0" fontId="134" fillId="0" borderId="92" xfId="5" applyFont="1" applyBorder="1" applyAlignment="1">
      <alignment horizontal="left" vertical="top" wrapText="1"/>
    </xf>
    <xf numFmtId="0" fontId="134" fillId="0" borderId="85" xfId="5" applyFont="1" applyBorder="1" applyAlignment="1">
      <alignment horizontal="left" vertical="top" wrapText="1"/>
    </xf>
    <xf numFmtId="0" fontId="134" fillId="0" borderId="93" xfId="5" applyFont="1" applyBorder="1" applyAlignment="1">
      <alignment horizontal="left" vertical="top" wrapText="1"/>
    </xf>
    <xf numFmtId="0" fontId="90" fillId="0" borderId="94" xfId="5" applyFont="1" applyBorder="1" applyAlignment="1">
      <alignment horizontal="left" vertical="top" wrapText="1"/>
    </xf>
    <xf numFmtId="0" fontId="90" fillId="0" borderId="25" xfId="5" applyFont="1" applyBorder="1" applyAlignment="1">
      <alignment horizontal="left" vertical="top" wrapText="1"/>
    </xf>
    <xf numFmtId="0" fontId="63" fillId="0" borderId="25" xfId="5" applyFont="1" applyBorder="1" applyAlignment="1">
      <alignment vertical="top" wrapText="1"/>
    </xf>
    <xf numFmtId="0" fontId="63" fillId="0" borderId="96" xfId="5" applyFont="1" applyBorder="1" applyAlignment="1">
      <alignment vertical="top" wrapText="1"/>
    </xf>
    <xf numFmtId="0" fontId="92" fillId="0" borderId="70" xfId="5" applyBorder="1" applyAlignment="1">
      <alignment horizontal="left" vertical="top" wrapText="1"/>
    </xf>
    <xf numFmtId="0" fontId="90" fillId="0" borderId="104" xfId="5" applyFont="1" applyBorder="1" applyAlignment="1">
      <alignment horizontal="left" vertical="top" wrapText="1"/>
    </xf>
    <xf numFmtId="0" fontId="90" fillId="0" borderId="90" xfId="5" applyFont="1" applyBorder="1" applyAlignment="1">
      <alignment horizontal="left" vertical="top" wrapText="1"/>
    </xf>
    <xf numFmtId="0" fontId="92" fillId="0" borderId="120" xfId="5" applyBorder="1" applyAlignment="1">
      <alignment horizontal="left" vertical="top" wrapText="1"/>
    </xf>
    <xf numFmtId="0" fontId="92" fillId="0" borderId="90" xfId="5" applyBorder="1" applyAlignment="1">
      <alignment horizontal="left" vertical="top" wrapText="1"/>
    </xf>
    <xf numFmtId="0" fontId="92" fillId="0" borderId="102" xfId="5" applyBorder="1" applyAlignment="1">
      <alignment horizontal="left" vertical="top" wrapText="1"/>
    </xf>
    <xf numFmtId="0" fontId="45" fillId="0" borderId="85" xfId="5" applyFont="1" applyBorder="1" applyAlignment="1">
      <alignment horizontal="right" vertical="top" wrapText="1"/>
    </xf>
    <xf numFmtId="0" fontId="136" fillId="0" borderId="85" xfId="5" applyFont="1" applyBorder="1" applyAlignment="1">
      <alignment horizontal="right" vertical="top" wrapText="1"/>
    </xf>
    <xf numFmtId="0" fontId="136" fillId="0" borderId="103" xfId="5" applyFont="1" applyBorder="1" applyAlignment="1">
      <alignment horizontal="right" vertical="top" wrapText="1"/>
    </xf>
    <xf numFmtId="0" fontId="135" fillId="0" borderId="107" xfId="5" applyFont="1" applyBorder="1" applyAlignment="1">
      <alignment horizontal="left" vertical="top" wrapText="1"/>
    </xf>
    <xf numFmtId="0" fontId="135" fillId="0" borderId="48" xfId="5" applyFont="1" applyBorder="1" applyAlignment="1">
      <alignment horizontal="left" vertical="top" wrapText="1"/>
    </xf>
    <xf numFmtId="0" fontId="135" fillId="0" borderId="41" xfId="5" applyFont="1" applyBorder="1" applyAlignment="1">
      <alignment horizontal="left" vertical="top" wrapText="1"/>
    </xf>
    <xf numFmtId="0" fontId="90" fillId="0" borderId="25" xfId="5" applyFont="1" applyBorder="1" applyAlignment="1">
      <alignment horizontal="right" vertical="top" wrapText="1"/>
    </xf>
    <xf numFmtId="0" fontId="63" fillId="0" borderId="31" xfId="5" applyFont="1" applyBorder="1" applyAlignment="1">
      <alignment horizontal="right" vertical="top" wrapText="1"/>
    </xf>
    <xf numFmtId="0" fontId="63" fillId="0" borderId="32" xfId="5" applyFont="1" applyBorder="1" applyAlignment="1">
      <alignment horizontal="right" vertical="top" wrapText="1"/>
    </xf>
    <xf numFmtId="0" fontId="63" fillId="0" borderId="106" xfId="5" applyFont="1" applyBorder="1" applyAlignment="1">
      <alignment horizontal="right" vertical="top" wrapText="1"/>
    </xf>
    <xf numFmtId="0" fontId="135" fillId="0" borderId="98" xfId="5" applyFont="1" applyBorder="1" applyAlignment="1">
      <alignment horizontal="left" vertical="top" wrapText="1"/>
    </xf>
    <xf numFmtId="15" fontId="92" fillId="0" borderId="31" xfId="5" applyNumberFormat="1" applyBorder="1" applyAlignment="1">
      <alignment horizontal="right" vertical="top" wrapText="1"/>
    </xf>
    <xf numFmtId="15" fontId="92" fillId="0" borderId="32" xfId="5" applyNumberFormat="1" applyBorder="1" applyAlignment="1">
      <alignment horizontal="right" vertical="top" wrapText="1"/>
    </xf>
    <xf numFmtId="15" fontId="92" fillId="0" borderId="106" xfId="5" applyNumberFormat="1" applyBorder="1" applyAlignment="1">
      <alignment horizontal="right" vertical="top" wrapText="1"/>
    </xf>
    <xf numFmtId="0" fontId="92" fillId="0" borderId="31" xfId="5" applyBorder="1" applyAlignment="1">
      <alignment horizontal="right" vertical="top" wrapText="1"/>
    </xf>
    <xf numFmtId="0" fontId="92" fillId="0" borderId="106" xfId="5" applyBorder="1" applyAlignment="1">
      <alignment horizontal="right" vertical="top" wrapText="1"/>
    </xf>
    <xf numFmtId="0" fontId="63" fillId="0" borderId="52" xfId="5" applyFont="1" applyBorder="1" applyAlignment="1">
      <alignment horizontal="left" vertical="top" wrapText="1"/>
    </xf>
    <xf numFmtId="0" fontId="63" fillId="0" borderId="113" xfId="5" applyFont="1" applyBorder="1" applyAlignment="1">
      <alignment horizontal="left" vertical="top" wrapText="1"/>
    </xf>
    <xf numFmtId="0" fontId="135" fillId="0" borderId="97" xfId="5" applyFont="1" applyBorder="1" applyAlignment="1">
      <alignment vertical="top" wrapText="1"/>
    </xf>
    <xf numFmtId="0" fontId="135" fillId="0" borderId="28" xfId="5" applyFont="1" applyBorder="1" applyAlignment="1">
      <alignment vertical="top" wrapText="1"/>
    </xf>
    <xf numFmtId="0" fontId="135" fillId="0" borderId="29" xfId="5" applyFont="1" applyBorder="1" applyAlignment="1">
      <alignment vertical="top" wrapText="1"/>
    </xf>
    <xf numFmtId="0" fontId="92" fillId="0" borderId="106" xfId="5" applyBorder="1" applyAlignment="1">
      <alignment horizontal="left" vertical="top" wrapText="1"/>
    </xf>
    <xf numFmtId="0" fontId="139" fillId="0" borderId="27" xfId="5" applyFont="1" applyBorder="1" applyAlignment="1">
      <alignment horizontal="left" vertical="top" wrapText="1"/>
    </xf>
    <xf numFmtId="0" fontId="135" fillId="0" borderId="112" xfId="5" applyFont="1" applyBorder="1" applyAlignment="1">
      <alignment horizontal="left" vertical="top" wrapText="1"/>
    </xf>
    <xf numFmtId="0" fontId="134" fillId="0" borderId="99" xfId="5" applyFont="1" applyBorder="1" applyAlignment="1">
      <alignment horizontal="left" vertical="top" wrapText="1"/>
    </xf>
    <xf numFmtId="0" fontId="134" fillId="0" borderId="111" xfId="5" applyFont="1" applyBorder="1" applyAlignment="1">
      <alignment horizontal="left" vertical="top" wrapText="1"/>
    </xf>
    <xf numFmtId="0" fontId="63" fillId="0" borderId="6" xfId="5" applyFont="1" applyBorder="1" applyAlignment="1">
      <alignment horizontal="center" vertical="top" wrapText="1"/>
    </xf>
    <xf numFmtId="0" fontId="63" fillId="0" borderId="0" xfId="5" applyFont="1" applyAlignment="1">
      <alignment horizontal="center" vertical="top" wrapText="1"/>
    </xf>
    <xf numFmtId="0" fontId="63" fillId="0" borderId="52" xfId="5" applyFont="1" applyBorder="1" applyAlignment="1">
      <alignment horizontal="center" vertical="top" wrapText="1"/>
    </xf>
    <xf numFmtId="0" fontId="134" fillId="0" borderId="28" xfId="5" applyFont="1" applyBorder="1" applyAlignment="1">
      <alignment horizontal="left" vertical="top" wrapText="1"/>
    </xf>
    <xf numFmtId="0" fontId="134" fillId="0" borderId="98" xfId="5" applyFont="1" applyBorder="1" applyAlignment="1">
      <alignment horizontal="left" vertical="top" wrapText="1"/>
    </xf>
    <xf numFmtId="0" fontId="92" fillId="0" borderId="65" xfId="5" applyBorder="1" applyAlignment="1">
      <alignment horizontal="center" vertical="top" wrapText="1"/>
    </xf>
    <xf numFmtId="0" fontId="92" fillId="0" borderId="0" xfId="5" applyAlignment="1">
      <alignment horizontal="center" vertical="top" wrapText="1"/>
    </xf>
    <xf numFmtId="0" fontId="92" fillId="0" borderId="7" xfId="5" applyBorder="1" applyAlignment="1">
      <alignment horizontal="center" vertical="top" wrapText="1"/>
    </xf>
    <xf numFmtId="0" fontId="92" fillId="0" borderId="108" xfId="5" applyBorder="1" applyAlignment="1">
      <alignment horizontal="center" vertical="top" wrapText="1"/>
    </xf>
    <xf numFmtId="0" fontId="92" fillId="0" borderId="9" xfId="5" applyBorder="1" applyAlignment="1">
      <alignment horizontal="center" vertical="top" wrapText="1"/>
    </xf>
    <xf numFmtId="0" fontId="92" fillId="0" borderId="10" xfId="5" applyBorder="1" applyAlignment="1">
      <alignment horizontal="center" vertical="top" wrapText="1"/>
    </xf>
    <xf numFmtId="0" fontId="90" fillId="0" borderId="112" xfId="5" applyFont="1" applyBorder="1" applyAlignment="1">
      <alignment horizontal="left" vertical="top" wrapText="1"/>
    </xf>
    <xf numFmtId="0" fontId="90" fillId="0" borderId="99" xfId="5" applyFont="1" applyBorder="1" applyAlignment="1">
      <alignment horizontal="left" vertical="top" wrapText="1"/>
    </xf>
    <xf numFmtId="0" fontId="90" fillId="0" borderId="111" xfId="5" applyFont="1" applyBorder="1" applyAlignment="1">
      <alignment horizontal="left" vertical="top" wrapText="1"/>
    </xf>
    <xf numFmtId="0" fontId="134" fillId="0" borderId="39" xfId="5" applyFont="1" applyBorder="1" applyAlignment="1">
      <alignment horizontal="center" vertical="center" wrapText="1"/>
    </xf>
    <xf numFmtId="0" fontId="134" fillId="0" borderId="2" xfId="5" applyFont="1" applyBorder="1" applyAlignment="1">
      <alignment horizontal="center" vertical="center" wrapText="1"/>
    </xf>
    <xf numFmtId="0" fontId="135" fillId="0" borderId="48" xfId="5" applyFont="1" applyBorder="1" applyAlignment="1">
      <alignment horizontal="center" vertical="center" wrapText="1"/>
    </xf>
    <xf numFmtId="0" fontId="135" fillId="0" borderId="41" xfId="5" applyFont="1" applyBorder="1" applyAlignment="1">
      <alignment horizontal="center" vertical="center" wrapText="1"/>
    </xf>
    <xf numFmtId="0" fontId="135" fillId="0" borderId="9" xfId="5" applyFont="1" applyBorder="1" applyAlignment="1">
      <alignment horizontal="center" vertical="center" wrapText="1"/>
    </xf>
    <xf numFmtId="0" fontId="135" fillId="0" borderId="10" xfId="5" applyFont="1" applyBorder="1" applyAlignment="1">
      <alignment horizontal="center" vertical="center" wrapText="1"/>
    </xf>
    <xf numFmtId="0" fontId="135" fillId="0" borderId="39" xfId="5" applyFont="1" applyBorder="1" applyAlignment="1">
      <alignment horizontal="center" vertical="center" wrapText="1"/>
    </xf>
    <xf numFmtId="0" fontId="135" fillId="0" borderId="2" xfId="5" applyFont="1" applyBorder="1" applyAlignment="1">
      <alignment horizontal="center" vertical="center" wrapText="1"/>
    </xf>
    <xf numFmtId="0" fontId="134" fillId="0" borderId="40" xfId="5" applyFont="1" applyBorder="1" applyAlignment="1">
      <alignment horizontal="center" vertical="center" wrapText="1"/>
    </xf>
    <xf numFmtId="0" fontId="134" fillId="0" borderId="41" xfId="5" applyFont="1" applyBorder="1" applyAlignment="1">
      <alignment horizontal="center" vertical="center" wrapText="1"/>
    </xf>
    <xf numFmtId="0" fontId="134" fillId="0" borderId="8" xfId="5" applyFont="1" applyBorder="1" applyAlignment="1">
      <alignment horizontal="center" vertical="center" wrapText="1"/>
    </xf>
    <xf numFmtId="0" fontId="134" fillId="0" borderId="10" xfId="5" applyFont="1" applyBorder="1" applyAlignment="1">
      <alignment horizontal="center" vertical="center" wrapText="1"/>
    </xf>
    <xf numFmtId="0" fontId="12" fillId="0" borderId="0" xfId="0" applyFont="1" applyAlignment="1">
      <alignment horizontal="left" vertical="top" wrapText="1"/>
    </xf>
    <xf numFmtId="166" fontId="26" fillId="0" borderId="70" xfId="0" applyNumberFormat="1" applyFont="1" applyBorder="1" applyAlignment="1">
      <alignment horizontal="left" vertical="top" wrapText="1"/>
    </xf>
    <xf numFmtId="166" fontId="26" fillId="0" borderId="25" xfId="0" applyNumberFormat="1" applyFont="1" applyBorder="1" applyAlignment="1">
      <alignment horizontal="left" vertical="top" wrapText="1"/>
    </xf>
    <xf numFmtId="166" fontId="26" fillId="0" borderId="50" xfId="0" applyNumberFormat="1" applyFont="1" applyBorder="1" applyAlignment="1">
      <alignment horizontal="left" vertical="top" wrapText="1"/>
    </xf>
    <xf numFmtId="0" fontId="23" fillId="0" borderId="70" xfId="0" applyFont="1" applyBorder="1" applyAlignment="1">
      <alignment horizontal="left" vertical="top" wrapText="1"/>
    </xf>
    <xf numFmtId="0" fontId="23" fillId="0" borderId="25" xfId="0" applyFont="1" applyBorder="1" applyAlignment="1">
      <alignment horizontal="left" vertical="top" wrapText="1"/>
    </xf>
    <xf numFmtId="0" fontId="23" fillId="0" borderId="50" xfId="0" applyFont="1" applyBorder="1" applyAlignment="1">
      <alignment horizontal="left" vertical="top" wrapText="1"/>
    </xf>
    <xf numFmtId="0" fontId="22" fillId="0" borderId="70" xfId="0" applyFont="1" applyBorder="1" applyAlignment="1">
      <alignment horizontal="center" vertical="top" wrapText="1"/>
    </xf>
    <xf numFmtId="0" fontId="22" fillId="0" borderId="25" xfId="0" applyFont="1" applyBorder="1" applyAlignment="1">
      <alignment horizontal="center" vertical="top" wrapText="1"/>
    </xf>
    <xf numFmtId="0" fontId="22" fillId="0" borderId="26" xfId="0" applyFont="1" applyBorder="1" applyAlignment="1">
      <alignment horizontal="center" vertical="top" wrapText="1"/>
    </xf>
    <xf numFmtId="0" fontId="0" fillId="0" borderId="27" xfId="0" applyBorder="1" applyAlignment="1">
      <alignment horizontal="left" vertical="top" wrapText="1"/>
    </xf>
    <xf numFmtId="0" fontId="0" fillId="0" borderId="75" xfId="0" applyBorder="1" applyAlignment="1">
      <alignment horizontal="left" vertical="top" wrapText="1"/>
    </xf>
    <xf numFmtId="0" fontId="0" fillId="0" borderId="31" xfId="0" applyBorder="1" applyAlignment="1">
      <alignment horizontal="left" vertical="top" wrapText="1"/>
    </xf>
    <xf numFmtId="0" fontId="0" fillId="0" borderId="51" xfId="0" applyBorder="1" applyAlignment="1">
      <alignment horizontal="left" vertical="top" wrapText="1"/>
    </xf>
    <xf numFmtId="0" fontId="0" fillId="0" borderId="78" xfId="0" applyBorder="1" applyAlignment="1">
      <alignment horizontal="left" vertical="top" wrapText="1"/>
    </xf>
    <xf numFmtId="0" fontId="0" fillId="0" borderId="66" xfId="0" applyBorder="1" applyAlignment="1">
      <alignment horizontal="left" vertical="top" wrapText="1"/>
    </xf>
    <xf numFmtId="0" fontId="23" fillId="0" borderId="24" xfId="0" applyFont="1" applyBorder="1" applyAlignment="1">
      <alignment horizontal="left" vertical="top" wrapText="1"/>
    </xf>
    <xf numFmtId="0" fontId="23" fillId="0" borderId="26" xfId="0" applyFont="1" applyBorder="1" applyAlignment="1">
      <alignment horizontal="left" vertical="top" wrapText="1"/>
    </xf>
    <xf numFmtId="0" fontId="23" fillId="0" borderId="57" xfId="0" applyFont="1" applyBorder="1" applyAlignment="1">
      <alignment horizontal="left" vertical="top" wrapText="1"/>
    </xf>
    <xf numFmtId="0" fontId="23" fillId="0" borderId="56" xfId="0" applyFont="1" applyBorder="1" applyAlignment="1">
      <alignment horizontal="left" vertical="top" wrapText="1"/>
    </xf>
    <xf numFmtId="0" fontId="23" fillId="0" borderId="55" xfId="0" applyFont="1" applyBorder="1" applyAlignment="1">
      <alignment horizontal="left" vertical="top" wrapText="1"/>
    </xf>
    <xf numFmtId="164" fontId="24" fillId="0" borderId="57" xfId="0" applyNumberFormat="1" applyFont="1" applyBorder="1" applyAlignment="1">
      <alignment horizontal="left" vertical="top" wrapText="1"/>
    </xf>
    <xf numFmtId="164" fontId="24" fillId="0" borderId="76" xfId="0" applyNumberFormat="1" applyFont="1" applyBorder="1" applyAlignment="1">
      <alignment horizontal="left" vertical="top" wrapText="1"/>
    </xf>
    <xf numFmtId="0" fontId="25" fillId="0" borderId="24" xfId="0" applyFont="1" applyBorder="1" applyAlignment="1">
      <alignment horizontal="left" vertical="top" wrapText="1"/>
    </xf>
    <xf numFmtId="0" fontId="25" fillId="0" borderId="26" xfId="0" applyFont="1" applyBorder="1" applyAlignment="1">
      <alignment horizontal="left" vertical="top" wrapText="1"/>
    </xf>
    <xf numFmtId="0" fontId="21" fillId="0" borderId="0" xfId="0" applyFont="1" applyAlignment="1">
      <alignment horizontal="center" vertical="top"/>
    </xf>
    <xf numFmtId="0" fontId="0" fillId="0" borderId="77" xfId="0" applyBorder="1" applyAlignment="1">
      <alignment horizontal="left" vertical="top" wrapText="1"/>
    </xf>
    <xf numFmtId="0" fontId="0" fillId="0" borderId="73" xfId="0" applyBorder="1" applyAlignment="1">
      <alignment horizontal="left" vertical="top" wrapText="1"/>
    </xf>
    <xf numFmtId="0" fontId="0" fillId="0" borderId="74" xfId="0" applyBorder="1" applyAlignment="1">
      <alignment horizontal="left" vertical="top" wrapText="1"/>
    </xf>
    <xf numFmtId="0" fontId="22" fillId="0" borderId="70" xfId="0" applyFont="1" applyBorder="1" applyAlignment="1">
      <alignment horizontal="left" vertical="top" wrapText="1"/>
    </xf>
    <xf numFmtId="0" fontId="22" fillId="0" borderId="26" xfId="0" applyFont="1" applyBorder="1" applyAlignment="1">
      <alignment horizontal="left" vertical="top" wrapText="1"/>
    </xf>
    <xf numFmtId="0" fontId="22" fillId="0" borderId="24" xfId="0" applyFont="1" applyBorder="1" applyAlignment="1">
      <alignment horizontal="left" vertical="top" wrapText="1"/>
    </xf>
    <xf numFmtId="165" fontId="24" fillId="0" borderId="24" xfId="0" applyNumberFormat="1" applyFont="1" applyBorder="1" applyAlignment="1">
      <alignment horizontal="left" vertical="top" wrapText="1"/>
    </xf>
    <xf numFmtId="165" fontId="24" fillId="0" borderId="25" xfId="0" applyNumberFormat="1" applyFont="1" applyBorder="1" applyAlignment="1">
      <alignment horizontal="left" vertical="top" wrapText="1"/>
    </xf>
    <xf numFmtId="165" fontId="24" fillId="0" borderId="50" xfId="0" applyNumberFormat="1" applyFont="1" applyBorder="1" applyAlignment="1">
      <alignment horizontal="left" vertical="top" wrapText="1"/>
    </xf>
    <xf numFmtId="164" fontId="7" fillId="0" borderId="24" xfId="5" applyNumberFormat="1" applyFont="1" applyBorder="1" applyAlignment="1">
      <alignment horizontal="left" vertical="top" wrapText="1"/>
    </xf>
    <xf numFmtId="164" fontId="7" fillId="0" borderId="25" xfId="5" applyNumberFormat="1" applyFont="1" applyBorder="1" applyAlignment="1">
      <alignment horizontal="left" vertical="top" wrapText="1"/>
    </xf>
    <xf numFmtId="164" fontId="7" fillId="0" borderId="26" xfId="5" applyNumberFormat="1" applyFont="1" applyBorder="1" applyAlignment="1">
      <alignment horizontal="left" vertical="top" wrapText="1"/>
    </xf>
    <xf numFmtId="0" fontId="92" fillId="0" borderId="35" xfId="5" applyBorder="1" applyAlignment="1">
      <alignment horizontal="left" vertical="top" wrapText="1"/>
    </xf>
    <xf numFmtId="0" fontId="118" fillId="0" borderId="24" xfId="5" applyFont="1" applyBorder="1" applyAlignment="1">
      <alignment horizontal="left" vertical="top" wrapText="1"/>
    </xf>
    <xf numFmtId="0" fontId="118" fillId="0" borderId="26" xfId="5" applyFont="1" applyBorder="1" applyAlignment="1">
      <alignment horizontal="left" vertical="top" wrapText="1"/>
    </xf>
    <xf numFmtId="0" fontId="118" fillId="0" borderId="25" xfId="5" applyFont="1" applyBorder="1" applyAlignment="1">
      <alignment horizontal="left" vertical="top" wrapText="1"/>
    </xf>
    <xf numFmtId="0" fontId="117" fillId="0" borderId="24" xfId="5" applyFont="1" applyBorder="1" applyAlignment="1">
      <alignment horizontal="left" vertical="top" wrapText="1"/>
    </xf>
    <xf numFmtId="0" fontId="117" fillId="0" borderId="26" xfId="5" applyFont="1" applyBorder="1" applyAlignment="1">
      <alignment horizontal="left" vertical="top" wrapText="1"/>
    </xf>
    <xf numFmtId="0" fontId="117" fillId="0" borderId="25" xfId="5" applyFont="1" applyBorder="1" applyAlignment="1">
      <alignment horizontal="left" vertical="top" wrapText="1"/>
    </xf>
    <xf numFmtId="0" fontId="92" fillId="0" borderId="24" xfId="5" applyBorder="1" applyAlignment="1">
      <alignment horizontal="left" vertical="top" wrapText="1"/>
    </xf>
    <xf numFmtId="0" fontId="3" fillId="0" borderId="24" xfId="5" applyFont="1" applyBorder="1" applyAlignment="1">
      <alignment horizontal="left" vertical="top" wrapText="1"/>
    </xf>
    <xf numFmtId="0" fontId="119" fillId="0" borderId="24" xfId="5" applyFont="1" applyBorder="1" applyAlignment="1">
      <alignment horizontal="left" vertical="top" wrapText="1"/>
    </xf>
    <xf numFmtId="0" fontId="119" fillId="0" borderId="25" xfId="5" applyFont="1" applyBorder="1" applyAlignment="1">
      <alignment horizontal="left" vertical="top" wrapText="1"/>
    </xf>
    <xf numFmtId="0" fontId="119" fillId="0" borderId="26" xfId="5" applyFont="1" applyBorder="1" applyAlignment="1">
      <alignment horizontal="left" vertical="top" wrapText="1"/>
    </xf>
    <xf numFmtId="166" fontId="9" fillId="0" borderId="24" xfId="5" applyNumberFormat="1" applyFont="1" applyBorder="1" applyAlignment="1">
      <alignment horizontal="left" vertical="top" wrapText="1"/>
    </xf>
    <xf numFmtId="166" fontId="9" fillId="0" borderId="25" xfId="5" applyNumberFormat="1" applyFont="1" applyBorder="1" applyAlignment="1">
      <alignment horizontal="left" vertical="top" wrapText="1"/>
    </xf>
    <xf numFmtId="166" fontId="9" fillId="0" borderId="26" xfId="5" applyNumberFormat="1" applyFont="1" applyBorder="1" applyAlignment="1">
      <alignment horizontal="left" vertical="top" wrapText="1"/>
    </xf>
    <xf numFmtId="0" fontId="116" fillId="0" borderId="24" xfId="5" applyFont="1" applyBorder="1" applyAlignment="1">
      <alignment horizontal="left" vertical="top" wrapText="1"/>
    </xf>
    <xf numFmtId="0" fontId="116" fillId="0" borderId="25" xfId="5" applyFont="1" applyBorder="1" applyAlignment="1">
      <alignment horizontal="left" vertical="top" wrapText="1"/>
    </xf>
    <xf numFmtId="0" fontId="116" fillId="0" borderId="26" xfId="5" applyFont="1" applyBorder="1" applyAlignment="1">
      <alignment horizontal="left" vertical="top" wrapText="1"/>
    </xf>
    <xf numFmtId="165" fontId="7" fillId="0" borderId="24" xfId="5" applyNumberFormat="1" applyFont="1" applyBorder="1" applyAlignment="1">
      <alignment horizontal="left" vertical="top" wrapText="1"/>
    </xf>
    <xf numFmtId="165" fontId="7" fillId="0" borderId="25" xfId="5" applyNumberFormat="1" applyFont="1" applyBorder="1" applyAlignment="1">
      <alignment horizontal="left" vertical="top" wrapText="1"/>
    </xf>
    <xf numFmtId="165" fontId="7" fillId="0" borderId="26" xfId="5" applyNumberFormat="1" applyFont="1" applyBorder="1" applyAlignment="1">
      <alignment horizontal="left" vertical="top" wrapText="1"/>
    </xf>
    <xf numFmtId="0" fontId="3" fillId="0" borderId="44" xfId="5" applyFont="1" applyBorder="1" applyAlignment="1">
      <alignment horizontal="left" vertical="top" wrapText="1"/>
    </xf>
    <xf numFmtId="0" fontId="3" fillId="0" borderId="69" xfId="5" applyFont="1" applyBorder="1" applyAlignment="1">
      <alignment horizontal="left" vertical="top" wrapText="1"/>
    </xf>
    <xf numFmtId="0" fontId="90" fillId="0" borderId="44" xfId="5" applyFont="1" applyBorder="1" applyAlignment="1">
      <alignment horizontal="left" vertical="top"/>
    </xf>
    <xf numFmtId="0" fontId="90" fillId="0" borderId="69" xfId="5" applyFont="1" applyBorder="1" applyAlignment="1">
      <alignment horizontal="left" vertical="top"/>
    </xf>
    <xf numFmtId="0" fontId="90" fillId="0" borderId="46" xfId="5" applyFont="1" applyBorder="1" applyAlignment="1">
      <alignment horizontal="left" vertical="top"/>
    </xf>
    <xf numFmtId="0" fontId="90" fillId="0" borderId="116" xfId="5" applyFont="1" applyBorder="1" applyAlignment="1">
      <alignment horizontal="left" vertical="top"/>
    </xf>
    <xf numFmtId="0" fontId="92" fillId="0" borderId="116" xfId="5" applyBorder="1" applyAlignment="1">
      <alignment horizontal="left" vertical="top" wrapText="1"/>
    </xf>
    <xf numFmtId="0" fontId="92" fillId="0" borderId="69" xfId="5" applyBorder="1" applyAlignment="1">
      <alignment horizontal="center" vertical="top" wrapText="1"/>
    </xf>
    <xf numFmtId="0" fontId="92" fillId="0" borderId="45" xfId="5" applyBorder="1" applyAlignment="1">
      <alignment horizontal="center" vertical="top" wrapText="1"/>
    </xf>
    <xf numFmtId="0" fontId="92" fillId="0" borderId="116" xfId="5" applyBorder="1" applyAlignment="1">
      <alignment horizontal="center" vertical="top" wrapText="1"/>
    </xf>
    <xf numFmtId="0" fontId="92" fillId="0" borderId="47" xfId="5" applyBorder="1" applyAlignment="1">
      <alignment horizontal="center" vertical="top" wrapText="1"/>
    </xf>
    <xf numFmtId="0" fontId="136" fillId="0" borderId="94" xfId="5" applyFont="1" applyBorder="1" applyAlignment="1">
      <alignment horizontal="left" vertical="top" wrapText="1"/>
    </xf>
    <xf numFmtId="0" fontId="136" fillId="0" borderId="69" xfId="5" applyFont="1" applyBorder="1" applyAlignment="1">
      <alignment horizontal="left" vertical="top" wrapText="1"/>
    </xf>
    <xf numFmtId="0" fontId="135" fillId="0" borderId="44" xfId="5" applyFont="1" applyBorder="1" applyAlignment="1">
      <alignment horizontal="left" vertical="top" wrapText="1"/>
    </xf>
    <xf numFmtId="0" fontId="135" fillId="0" borderId="69" xfId="5" applyFont="1" applyBorder="1" applyAlignment="1">
      <alignment horizontal="left" vertical="top" wrapText="1"/>
    </xf>
    <xf numFmtId="0" fontId="92" fillId="0" borderId="28" xfId="5" applyBorder="1" applyAlignment="1">
      <alignment horizontal="right" vertical="top" wrapText="1"/>
    </xf>
    <xf numFmtId="0" fontId="92" fillId="0" borderId="98" xfId="5" applyBorder="1" applyAlignment="1">
      <alignment horizontal="right" vertical="top" wrapText="1"/>
    </xf>
    <xf numFmtId="0" fontId="92" fillId="0" borderId="44" xfId="5" applyBorder="1" applyAlignment="1">
      <alignment horizontal="left" vertical="top" wrapText="1"/>
    </xf>
    <xf numFmtId="0" fontId="135" fillId="0" borderId="87" xfId="5" applyFont="1" applyBorder="1" applyAlignment="1">
      <alignment horizontal="left" vertical="top" wrapText="1"/>
    </xf>
    <xf numFmtId="0" fontId="92" fillId="0" borderId="94" xfId="5" applyBorder="1" applyAlignment="1">
      <alignment horizontal="left" vertical="top" wrapText="1"/>
    </xf>
    <xf numFmtId="0" fontId="134" fillId="0" borderId="29" xfId="5" applyFont="1" applyBorder="1" applyAlignment="1">
      <alignment horizontal="left" vertical="top" wrapText="1"/>
    </xf>
    <xf numFmtId="0" fontId="135" fillId="0" borderId="24" xfId="5" applyFont="1" applyBorder="1" applyAlignment="1">
      <alignment horizontal="center" vertical="top" wrapText="1"/>
    </xf>
    <xf numFmtId="0" fontId="135" fillId="0" borderId="25" xfId="5" applyFont="1" applyBorder="1" applyAlignment="1">
      <alignment horizontal="center" vertical="top" wrapText="1"/>
    </xf>
    <xf numFmtId="0" fontId="135" fillId="0" borderId="26" xfId="5" applyFont="1" applyBorder="1" applyAlignment="1">
      <alignment horizontal="center" vertical="top" wrapText="1"/>
    </xf>
    <xf numFmtId="0" fontId="134" fillId="0" borderId="26" xfId="5" applyFont="1" applyBorder="1" applyAlignment="1">
      <alignment horizontal="left" vertical="top" wrapText="1"/>
    </xf>
    <xf numFmtId="0" fontId="134" fillId="0" borderId="96" xfId="5" applyFont="1" applyBorder="1" applyAlignment="1">
      <alignment horizontal="left" vertical="top" wrapText="1"/>
    </xf>
    <xf numFmtId="0" fontId="45" fillId="0" borderId="69" xfId="5" applyFont="1" applyBorder="1" applyAlignment="1">
      <alignment horizontal="right" vertical="top" wrapText="1"/>
    </xf>
    <xf numFmtId="0" fontId="92" fillId="0" borderId="69" xfId="5" applyBorder="1" applyAlignment="1">
      <alignment horizontal="right" vertical="top" wrapText="1"/>
    </xf>
    <xf numFmtId="0" fontId="92" fillId="0" borderId="45" xfId="5" applyBorder="1" applyAlignment="1">
      <alignment horizontal="right" vertical="top" wrapText="1"/>
    </xf>
    <xf numFmtId="0" fontId="92" fillId="0" borderId="69" xfId="5" applyBorder="1" applyAlignment="1">
      <alignment horizontal="center" vertical="center" wrapText="1"/>
    </xf>
    <xf numFmtId="168" fontId="137" fillId="0" borderId="24" xfId="5" applyNumberFormat="1" applyFont="1" applyBorder="1" applyAlignment="1">
      <alignment horizontal="left" vertical="top" wrapText="1"/>
    </xf>
    <xf numFmtId="168" fontId="137" fillId="0" borderId="25" xfId="5" applyNumberFormat="1" applyFont="1" applyBorder="1" applyAlignment="1">
      <alignment horizontal="left" vertical="top" wrapText="1"/>
    </xf>
    <xf numFmtId="168" fontId="137" fillId="0" borderId="26" xfId="5" applyNumberFormat="1" applyFont="1" applyBorder="1" applyAlignment="1">
      <alignment horizontal="left" vertical="top" wrapText="1"/>
    </xf>
    <xf numFmtId="168" fontId="137" fillId="0" borderId="96" xfId="5" applyNumberFormat="1" applyFont="1" applyBorder="1" applyAlignment="1">
      <alignment horizontal="left" vertical="top" wrapText="1"/>
    </xf>
    <xf numFmtId="0" fontId="135" fillId="0" borderId="32" xfId="5" applyFont="1" applyBorder="1" applyAlignment="1">
      <alignment horizontal="left" vertical="top" wrapText="1"/>
    </xf>
    <xf numFmtId="0" fontId="135" fillId="0" borderId="106" xfId="5" applyFont="1" applyBorder="1" applyAlignment="1">
      <alignment horizontal="left" vertical="top" wrapText="1"/>
    </xf>
    <xf numFmtId="0" fontId="135" fillId="0" borderId="25" xfId="5" applyFont="1" applyBorder="1" applyAlignment="1">
      <alignment horizontal="right" vertical="top" wrapText="1"/>
    </xf>
    <xf numFmtId="0" fontId="134" fillId="0" borderId="96" xfId="5" applyFont="1" applyBorder="1" applyAlignment="1">
      <alignment horizontal="right" vertical="top" wrapText="1"/>
    </xf>
    <xf numFmtId="0" fontId="135" fillId="0" borderId="69" xfId="5" applyFont="1" applyBorder="1" applyAlignment="1">
      <alignment horizontal="center" vertical="top" wrapText="1"/>
    </xf>
    <xf numFmtId="0" fontId="135" fillId="0" borderId="45" xfId="5" applyFont="1" applyBorder="1" applyAlignment="1">
      <alignment horizontal="center" vertical="top" wrapText="1"/>
    </xf>
    <xf numFmtId="0" fontId="135" fillId="0" borderId="0" xfId="5" applyFont="1" applyAlignment="1">
      <alignment horizontal="left" vertical="top" wrapText="1"/>
    </xf>
    <xf numFmtId="0" fontId="92" fillId="0" borderId="114" xfId="5" applyBorder="1" applyAlignment="1">
      <alignment horizontal="center" vertical="top" wrapText="1"/>
    </xf>
    <xf numFmtId="0" fontId="92" fillId="0" borderId="71" xfId="5" applyBorder="1" applyAlignment="1">
      <alignment horizontal="center" vertical="top" wrapText="1"/>
    </xf>
    <xf numFmtId="0" fontId="92" fillId="0" borderId="115" xfId="5" applyBorder="1" applyAlignment="1">
      <alignment horizontal="center" vertical="top" wrapText="1"/>
    </xf>
    <xf numFmtId="0" fontId="135" fillId="0" borderId="94" xfId="5" applyFont="1" applyBorder="1" applyAlignment="1">
      <alignment horizontal="right" vertical="top" wrapText="1"/>
    </xf>
    <xf numFmtId="0" fontId="134" fillId="0" borderId="32" xfId="5" applyFont="1" applyBorder="1" applyAlignment="1">
      <alignment horizontal="right" vertical="top" wrapText="1"/>
    </xf>
    <xf numFmtId="0" fontId="134" fillId="0" borderId="33" xfId="5" applyFont="1" applyBorder="1" applyAlignment="1">
      <alignment horizontal="right" vertical="top" wrapText="1"/>
    </xf>
    <xf numFmtId="168" fontId="143" fillId="0" borderId="24" xfId="5" applyNumberFormat="1" applyFont="1" applyBorder="1" applyAlignment="1">
      <alignment horizontal="left" vertical="top" wrapText="1"/>
    </xf>
    <xf numFmtId="168" fontId="143" fillId="0" borderId="25" xfId="5" applyNumberFormat="1" applyFont="1" applyBorder="1" applyAlignment="1">
      <alignment horizontal="left" vertical="top" wrapText="1"/>
    </xf>
    <xf numFmtId="168" fontId="143" fillId="0" borderId="26" xfId="5" applyNumberFormat="1" applyFont="1" applyBorder="1" applyAlignment="1">
      <alignment horizontal="left" vertical="top" wrapText="1"/>
    </xf>
    <xf numFmtId="168" fontId="143" fillId="0" borderId="96" xfId="5" applyNumberFormat="1" applyFont="1" applyBorder="1" applyAlignment="1">
      <alignment horizontal="left" vertical="top" wrapText="1"/>
    </xf>
    <xf numFmtId="0" fontId="136" fillId="0" borderId="25" xfId="5" applyFont="1" applyBorder="1" applyAlignment="1">
      <alignment horizontal="right" vertical="top" wrapText="1"/>
    </xf>
    <xf numFmtId="0" fontId="136" fillId="0" borderId="26" xfId="5" applyFont="1" applyBorder="1" applyAlignment="1">
      <alignment horizontal="right" vertical="top" wrapText="1"/>
    </xf>
    <xf numFmtId="0" fontId="63" fillId="0" borderId="31" xfId="5" applyFont="1" applyBorder="1" applyAlignment="1">
      <alignment horizontal="left" vertical="top" wrapText="1"/>
    </xf>
    <xf numFmtId="0" fontId="63" fillId="0" borderId="32" xfId="5" applyFont="1" applyBorder="1" applyAlignment="1">
      <alignment horizontal="left" vertical="top" wrapText="1"/>
    </xf>
    <xf numFmtId="0" fontId="63" fillId="0" borderId="106" xfId="5" applyFont="1" applyBorder="1" applyAlignment="1">
      <alignment horizontal="left" vertical="top" wrapText="1"/>
    </xf>
    <xf numFmtId="0" fontId="134" fillId="0" borderId="27" xfId="5" applyFont="1" applyBorder="1" applyAlignment="1">
      <alignment horizontal="left" vertical="top" wrapText="1"/>
    </xf>
    <xf numFmtId="0" fontId="135" fillId="0" borderId="97" xfId="5" applyFont="1" applyBorder="1" applyAlignment="1">
      <alignment horizontal="left" wrapText="1"/>
    </xf>
    <xf numFmtId="0" fontId="45" fillId="0" borderId="28" xfId="5" applyFont="1" applyBorder="1" applyAlignment="1">
      <alignment horizontal="left" wrapText="1"/>
    </xf>
    <xf numFmtId="0" fontId="45" fillId="0" borderId="29" xfId="5" applyFont="1" applyBorder="1" applyAlignment="1">
      <alignment horizontal="left" wrapText="1"/>
    </xf>
    <xf numFmtId="0" fontId="92" fillId="0" borderId="6" xfId="5" applyBorder="1" applyAlignment="1">
      <alignment horizontal="left" vertical="center" wrapText="1"/>
    </xf>
    <xf numFmtId="0" fontId="92" fillId="0" borderId="0" xfId="5" applyAlignment="1">
      <alignment horizontal="left" vertical="center" wrapText="1"/>
    </xf>
    <xf numFmtId="0" fontId="92" fillId="0" borderId="60" xfId="5" applyBorder="1" applyAlignment="1">
      <alignment horizontal="left" vertical="center" wrapText="1"/>
    </xf>
    <xf numFmtId="0" fontId="92" fillId="0" borderId="97" xfId="5" applyBorder="1" applyAlignment="1">
      <alignment horizontal="left" vertical="top" wrapText="1"/>
    </xf>
    <xf numFmtId="0" fontId="10" fillId="0" borderId="30" xfId="0" applyFont="1" applyBorder="1" applyAlignment="1">
      <alignment horizontal="left" vertical="top" wrapText="1"/>
    </xf>
    <xf numFmtId="0" fontId="10" fillId="0" borderId="34" xfId="0" applyFont="1" applyBorder="1" applyAlignment="1">
      <alignment horizontal="left" vertical="top" wrapText="1"/>
    </xf>
    <xf numFmtId="0" fontId="10" fillId="0" borderId="36" xfId="0" applyFont="1" applyBorder="1" applyAlignment="1">
      <alignment horizontal="left" vertical="top" wrapText="1"/>
    </xf>
    <xf numFmtId="0" fontId="10" fillId="0" borderId="37" xfId="0" applyFont="1" applyBorder="1" applyAlignment="1">
      <alignment horizontal="left" vertical="top" wrapText="1"/>
    </xf>
    <xf numFmtId="0" fontId="10" fillId="0" borderId="24" xfId="0" applyFont="1" applyBorder="1" applyAlignment="1">
      <alignment horizontal="left" vertical="top" wrapText="1"/>
    </xf>
    <xf numFmtId="0" fontId="10" fillId="0" borderId="25" xfId="0" applyFont="1" applyBorder="1" applyAlignment="1">
      <alignment horizontal="left" vertical="top" wrapText="1"/>
    </xf>
    <xf numFmtId="0" fontId="10" fillId="0" borderId="26" xfId="0" applyFont="1" applyBorder="1" applyAlignment="1">
      <alignment horizontal="left" vertical="top" wrapText="1"/>
    </xf>
    <xf numFmtId="0" fontId="0" fillId="0" borderId="24" xfId="0" applyBorder="1" applyAlignment="1">
      <alignment horizontal="left" vertical="top" wrapText="1"/>
    </xf>
    <xf numFmtId="0" fontId="0" fillId="0" borderId="26" xfId="0" applyBorder="1" applyAlignment="1">
      <alignment horizontal="left" vertical="top" wrapText="1"/>
    </xf>
    <xf numFmtId="0" fontId="6" fillId="0" borderId="24" xfId="0" applyFont="1" applyBorder="1" applyAlignment="1">
      <alignment horizontal="left" vertical="top" wrapText="1"/>
    </xf>
    <xf numFmtId="0" fontId="6" fillId="0" borderId="25" xfId="0" applyFont="1" applyBorder="1" applyAlignment="1">
      <alignment horizontal="left" vertical="top" wrapText="1"/>
    </xf>
    <xf numFmtId="0" fontId="6" fillId="0" borderId="26" xfId="0" applyFont="1" applyBorder="1" applyAlignment="1">
      <alignment horizontal="left" vertical="top" wrapText="1"/>
    </xf>
    <xf numFmtId="0" fontId="0" fillId="0" borderId="25" xfId="0" applyBorder="1" applyAlignment="1">
      <alignment horizontal="left" vertical="top" wrapText="1"/>
    </xf>
    <xf numFmtId="0" fontId="1" fillId="0" borderId="24" xfId="0" applyFont="1" applyBorder="1" applyAlignment="1">
      <alignment horizontal="left" vertical="top" wrapText="1"/>
    </xf>
    <xf numFmtId="0" fontId="1" fillId="0" borderId="25" xfId="0" applyFont="1" applyBorder="1" applyAlignment="1">
      <alignment horizontal="left" vertical="top" wrapText="1"/>
    </xf>
    <xf numFmtId="0" fontId="1" fillId="0" borderId="26" xfId="0" applyFont="1" applyBorder="1" applyAlignment="1">
      <alignment horizontal="left" vertical="top" wrapText="1"/>
    </xf>
    <xf numFmtId="164" fontId="19" fillId="0" borderId="24" xfId="0" applyNumberFormat="1" applyFont="1" applyBorder="1" applyAlignment="1">
      <alignment horizontal="left" vertical="top" wrapText="1"/>
    </xf>
    <xf numFmtId="164" fontId="19" fillId="0" borderId="25" xfId="0" applyNumberFormat="1" applyFont="1" applyBorder="1" applyAlignment="1">
      <alignment horizontal="left" vertical="top" wrapText="1"/>
    </xf>
    <xf numFmtId="164" fontId="19" fillId="0" borderId="26" xfId="0" applyNumberFormat="1" applyFont="1" applyBorder="1" applyAlignment="1">
      <alignment horizontal="left" vertical="top" wrapText="1"/>
    </xf>
    <xf numFmtId="166" fontId="19" fillId="0" borderId="24" xfId="0" applyNumberFormat="1" applyFont="1" applyBorder="1" applyAlignment="1">
      <alignment horizontal="left" vertical="top" wrapText="1"/>
    </xf>
    <xf numFmtId="166" fontId="19" fillId="0" borderId="25" xfId="0" applyNumberFormat="1" applyFont="1" applyBorder="1" applyAlignment="1">
      <alignment horizontal="left" vertical="top" wrapText="1"/>
    </xf>
    <xf numFmtId="166" fontId="19" fillId="0" borderId="26" xfId="0" applyNumberFormat="1" applyFont="1" applyBorder="1" applyAlignment="1">
      <alignment horizontal="left" vertical="top" wrapText="1"/>
    </xf>
    <xf numFmtId="0" fontId="10" fillId="0" borderId="86" xfId="0" applyFont="1" applyBorder="1" applyAlignment="1">
      <alignment horizontal="left" vertical="top" wrapText="1"/>
    </xf>
    <xf numFmtId="0" fontId="10" fillId="0" borderId="65" xfId="0" applyFont="1" applyBorder="1" applyAlignment="1">
      <alignment horizontal="left" vertical="top" wrapText="1"/>
    </xf>
    <xf numFmtId="0" fontId="10" fillId="0" borderId="66" xfId="0" applyFont="1" applyBorder="1" applyAlignment="1">
      <alignment horizontal="left" vertical="top" wrapText="1"/>
    </xf>
    <xf numFmtId="0" fontId="10" fillId="0" borderId="87" xfId="0" applyFont="1" applyBorder="1" applyAlignment="1">
      <alignment horizontal="left" vertical="top" wrapText="1"/>
    </xf>
    <xf numFmtId="0" fontId="10" fillId="0" borderId="32" xfId="0" applyFont="1" applyBorder="1" applyAlignment="1">
      <alignment horizontal="left" vertical="top" wrapText="1"/>
    </xf>
    <xf numFmtId="0" fontId="10" fillId="0" borderId="33" xfId="0" applyFont="1" applyBorder="1" applyAlignment="1">
      <alignment horizontal="left" vertical="top" wrapText="1"/>
    </xf>
    <xf numFmtId="0" fontId="10" fillId="0" borderId="11" xfId="0" applyFont="1" applyBorder="1" applyAlignment="1">
      <alignment horizontal="center" vertical="top" wrapText="1"/>
    </xf>
    <xf numFmtId="0" fontId="10" fillId="0" borderId="12" xfId="0" applyFont="1" applyBorder="1" applyAlignment="1">
      <alignment horizontal="center" vertical="top" wrapText="1"/>
    </xf>
    <xf numFmtId="0" fontId="10" fillId="0" borderId="13" xfId="0" applyFont="1" applyBorder="1" applyAlignment="1">
      <alignment horizontal="center" vertical="top" wrapText="1"/>
    </xf>
    <xf numFmtId="0" fontId="10" fillId="0" borderId="84" xfId="0" applyFont="1" applyBorder="1" applyAlignment="1">
      <alignment horizontal="center" vertical="top" wrapText="1"/>
    </xf>
    <xf numFmtId="0" fontId="10" fillId="0" borderId="85" xfId="0" applyFont="1" applyBorder="1" applyAlignment="1">
      <alignment horizontal="center" vertical="top" wrapText="1"/>
    </xf>
    <xf numFmtId="0" fontId="10" fillId="0" borderId="24" xfId="0" applyFont="1" applyBorder="1" applyAlignment="1">
      <alignment horizontal="center" vertical="top" wrapText="1"/>
    </xf>
    <xf numFmtId="0" fontId="10" fillId="0" borderId="25" xfId="0" applyFont="1" applyBorder="1" applyAlignment="1">
      <alignment horizontal="center" vertical="top" wrapText="1"/>
    </xf>
    <xf numFmtId="0" fontId="16" fillId="0" borderId="0" xfId="0" applyFont="1" applyAlignment="1">
      <alignment horizontal="center" vertical="top"/>
    </xf>
    <xf numFmtId="0" fontId="10" fillId="0" borderId="8" xfId="0" applyFont="1" applyBorder="1" applyAlignment="1">
      <alignment horizontal="left" vertical="top" wrapText="1"/>
    </xf>
    <xf numFmtId="0" fontId="10" fillId="0" borderId="9" xfId="0" applyFont="1" applyBorder="1" applyAlignment="1">
      <alignment horizontal="left" vertical="top" wrapText="1"/>
    </xf>
    <xf numFmtId="0" fontId="10" fillId="0" borderId="88" xfId="0" applyFont="1" applyBorder="1" applyAlignment="1">
      <alignment horizontal="left" vertical="top" wrapText="1"/>
    </xf>
    <xf numFmtId="0" fontId="10" fillId="0" borderId="27" xfId="0" applyFont="1" applyBorder="1" applyAlignment="1">
      <alignment horizontal="left" vertical="top" wrapText="1"/>
    </xf>
    <xf numFmtId="0" fontId="10" fillId="0" borderId="28" xfId="0" applyFont="1" applyBorder="1" applyAlignment="1">
      <alignment horizontal="left" vertical="top" wrapText="1"/>
    </xf>
    <xf numFmtId="0" fontId="10" fillId="0" borderId="29" xfId="0" applyFont="1" applyBorder="1" applyAlignment="1">
      <alignment horizontal="left" vertical="top" wrapText="1"/>
    </xf>
    <xf numFmtId="0" fontId="10" fillId="0" borderId="11" xfId="0" applyFont="1" applyBorder="1" applyAlignment="1">
      <alignment horizontal="left" vertical="top" wrapText="1"/>
    </xf>
    <xf numFmtId="0" fontId="10" fillId="0" borderId="12" xfId="0" applyFont="1" applyBorder="1" applyAlignment="1">
      <alignment horizontal="left" vertical="top" wrapText="1"/>
    </xf>
    <xf numFmtId="1" fontId="10" fillId="0" borderId="24" xfId="0" applyNumberFormat="1" applyFont="1" applyBorder="1" applyAlignment="1">
      <alignment horizontal="left" vertical="top" wrapText="1"/>
    </xf>
    <xf numFmtId="0" fontId="10" fillId="0" borderId="89" xfId="0" applyFont="1" applyBorder="1" applyAlignment="1">
      <alignment horizontal="center" vertical="top" wrapText="1"/>
    </xf>
    <xf numFmtId="0" fontId="10" fillId="0" borderId="90" xfId="0" applyFont="1" applyBorder="1" applyAlignment="1">
      <alignment horizontal="center" vertical="top" wrapText="1"/>
    </xf>
    <xf numFmtId="174" fontId="10" fillId="0" borderId="66" xfId="0" applyNumberFormat="1" applyFont="1" applyBorder="1" applyAlignment="1">
      <alignment horizontal="center" vertical="top" wrapText="1"/>
    </xf>
    <xf numFmtId="174" fontId="10" fillId="0" borderId="67" xfId="0" applyNumberFormat="1" applyFont="1" applyBorder="1" applyAlignment="1">
      <alignment horizontal="center" vertical="top" wrapText="1"/>
    </xf>
    <xf numFmtId="174" fontId="10" fillId="0" borderId="59" xfId="0" applyNumberFormat="1" applyFont="1" applyBorder="1" applyAlignment="1">
      <alignment horizontal="center" vertical="top" wrapText="1"/>
    </xf>
    <xf numFmtId="174" fontId="10" fillId="0" borderId="64" xfId="0" applyNumberFormat="1" applyFont="1" applyBorder="1" applyAlignment="1">
      <alignment horizontal="center" vertical="top" wrapText="1"/>
    </xf>
    <xf numFmtId="174" fontId="10" fillId="0" borderId="18" xfId="0" applyNumberFormat="1" applyFont="1" applyBorder="1" applyAlignment="1">
      <alignment horizontal="center" vertical="top" wrapText="1"/>
    </xf>
    <xf numFmtId="174" fontId="10" fillId="0" borderId="19" xfId="0" applyNumberFormat="1" applyFont="1" applyBorder="1" applyAlignment="1">
      <alignment horizontal="center" vertical="top" wrapText="1"/>
    </xf>
    <xf numFmtId="174" fontId="10" fillId="0" borderId="91" xfId="0" applyNumberFormat="1" applyFont="1" applyBorder="1" applyAlignment="1">
      <alignment horizontal="center" vertical="top" wrapText="1"/>
    </xf>
    <xf numFmtId="174" fontId="10" fillId="0" borderId="21" xfId="0" applyNumberFormat="1" applyFont="1" applyBorder="1" applyAlignment="1">
      <alignment horizontal="center" vertical="top" wrapText="1"/>
    </xf>
    <xf numFmtId="174" fontId="10" fillId="0" borderId="22" xfId="0" applyNumberFormat="1" applyFont="1" applyBorder="1" applyAlignment="1">
      <alignment horizontal="center" vertical="top" wrapText="1"/>
    </xf>
    <xf numFmtId="0" fontId="53" fillId="0" borderId="17" xfId="0" applyFont="1" applyBorder="1" applyAlignment="1">
      <alignment horizontal="left" vertical="top" wrapText="1"/>
    </xf>
    <xf numFmtId="0" fontId="53" fillId="0" borderId="18" xfId="0" applyFont="1" applyBorder="1" applyAlignment="1">
      <alignment horizontal="left" vertical="top" wrapText="1"/>
    </xf>
    <xf numFmtId="0" fontId="53" fillId="0" borderId="19" xfId="0" applyFont="1" applyBorder="1" applyAlignment="1">
      <alignment horizontal="left" vertical="top" wrapText="1"/>
    </xf>
    <xf numFmtId="0" fontId="15" fillId="0" borderId="17" xfId="0" applyFont="1" applyBorder="1" applyAlignment="1">
      <alignment horizontal="left" vertical="top" wrapText="1"/>
    </xf>
    <xf numFmtId="0" fontId="15" fillId="0" borderId="18" xfId="0" applyFont="1" applyBorder="1" applyAlignment="1">
      <alignment horizontal="left" vertical="top" wrapText="1"/>
    </xf>
    <xf numFmtId="0" fontId="23" fillId="0" borderId="0" xfId="0" applyFont="1" applyAlignment="1">
      <alignment horizontal="left" vertical="top" wrapText="1"/>
    </xf>
    <xf numFmtId="0" fontId="54" fillId="0" borderId="14" xfId="0" applyFont="1" applyBorder="1" applyAlignment="1">
      <alignment horizontal="left" vertical="top" wrapText="1"/>
    </xf>
    <xf numFmtId="0" fontId="54" fillId="0" borderId="15" xfId="0" applyFont="1" applyBorder="1" applyAlignment="1">
      <alignment horizontal="left" vertical="top" wrapText="1"/>
    </xf>
    <xf numFmtId="0" fontId="54" fillId="0" borderId="16" xfId="0" applyFont="1" applyBorder="1" applyAlignment="1">
      <alignment horizontal="left" vertical="top" wrapText="1"/>
    </xf>
    <xf numFmtId="0" fontId="52" fillId="0" borderId="17" xfId="0" applyFont="1" applyBorder="1" applyAlignment="1">
      <alignment horizontal="left" vertical="top" wrapText="1"/>
    </xf>
    <xf numFmtId="0" fontId="52" fillId="0" borderId="18" xfId="0" applyFont="1" applyBorder="1" applyAlignment="1">
      <alignment horizontal="left" vertical="top" wrapText="1"/>
    </xf>
    <xf numFmtId="0" fontId="52" fillId="0" borderId="19" xfId="0" applyFont="1" applyBorder="1" applyAlignment="1">
      <alignment horizontal="left" vertical="top" wrapText="1"/>
    </xf>
    <xf numFmtId="0" fontId="53" fillId="0" borderId="17" xfId="0" applyFont="1" applyBorder="1" applyAlignment="1">
      <alignment horizontal="left" wrapText="1"/>
    </xf>
    <xf numFmtId="0" fontId="53" fillId="0" borderId="18" xfId="0" applyFont="1" applyBorder="1" applyAlignment="1">
      <alignment horizontal="left" wrapText="1"/>
    </xf>
    <xf numFmtId="0" fontId="53" fillId="0" borderId="19" xfId="0" applyFont="1" applyBorder="1" applyAlignment="1">
      <alignment horizontal="left" wrapText="1"/>
    </xf>
    <xf numFmtId="0" fontId="0" fillId="0" borderId="24" xfId="0" applyBorder="1" applyAlignment="1">
      <alignment horizontal="center" vertical="center" wrapText="1"/>
    </xf>
    <xf numFmtId="0" fontId="0" fillId="0" borderId="26" xfId="0" applyBorder="1" applyAlignment="1">
      <alignment horizontal="center" vertical="center" wrapText="1"/>
    </xf>
    <xf numFmtId="0" fontId="0" fillId="0" borderId="0" xfId="0" applyAlignment="1">
      <alignment horizontal="left" vertical="top" wrapText="1"/>
    </xf>
    <xf numFmtId="0" fontId="0" fillId="0" borderId="60" xfId="0" applyBorder="1" applyAlignment="1">
      <alignment horizontal="left" vertical="top" wrapText="1"/>
    </xf>
    <xf numFmtId="0" fontId="56" fillId="0" borderId="30" xfId="0" applyFont="1" applyBorder="1" applyAlignment="1">
      <alignment horizontal="center" wrapText="1"/>
    </xf>
    <xf numFmtId="0" fontId="56" fillId="0" borderId="35" xfId="0" applyFont="1" applyBorder="1" applyAlignment="1">
      <alignment horizontal="center" wrapText="1"/>
    </xf>
    <xf numFmtId="0" fontId="45" fillId="0" borderId="30" xfId="0" applyFont="1" applyBorder="1" applyAlignment="1">
      <alignment horizontal="center" vertical="center" wrapText="1"/>
    </xf>
    <xf numFmtId="0" fontId="45" fillId="0" borderId="35" xfId="0" applyFont="1" applyBorder="1" applyAlignment="1">
      <alignment horizontal="center" vertical="center" wrapText="1"/>
    </xf>
    <xf numFmtId="0" fontId="45" fillId="0" borderId="24" xfId="0" applyFont="1" applyBorder="1" applyAlignment="1">
      <alignment horizontal="center" vertical="center" wrapText="1"/>
    </xf>
    <xf numFmtId="0" fontId="45" fillId="0" borderId="26" xfId="0" applyFont="1" applyBorder="1" applyAlignment="1">
      <alignment horizontal="center" vertical="center" wrapText="1"/>
    </xf>
    <xf numFmtId="0" fontId="59" fillId="0" borderId="0" xfId="0" applyFont="1" applyAlignment="1">
      <alignment horizontal="center" vertical="top"/>
    </xf>
    <xf numFmtId="0" fontId="44" fillId="0" borderId="0" xfId="0" applyFont="1" applyAlignment="1">
      <alignment horizontal="left" vertical="top" wrapText="1"/>
    </xf>
    <xf numFmtId="0" fontId="27" fillId="0" borderId="0" xfId="0" applyFont="1" applyAlignment="1">
      <alignment horizontal="left" vertical="top"/>
    </xf>
    <xf numFmtId="0" fontId="44" fillId="0" borderId="0" xfId="0" applyFont="1" applyAlignment="1">
      <alignment horizontal="right" vertical="center"/>
    </xf>
    <xf numFmtId="0" fontId="123" fillId="0" borderId="0" xfId="0" applyFont="1" applyAlignment="1">
      <alignment horizontal="left" vertical="center"/>
    </xf>
    <xf numFmtId="0" fontId="122" fillId="0" borderId="9" xfId="0" applyFont="1" applyBorder="1" applyAlignment="1">
      <alignment horizontal="center"/>
    </xf>
    <xf numFmtId="0" fontId="124" fillId="0" borderId="0" xfId="0" applyFont="1" applyAlignment="1">
      <alignment horizontal="right"/>
    </xf>
    <xf numFmtId="0" fontId="63" fillId="0" borderId="0" xfId="3" applyAlignment="1">
      <alignment horizontal="left" vertical="top" wrapText="1"/>
    </xf>
    <xf numFmtId="0" fontId="22" fillId="0" borderId="0" xfId="3" applyFont="1" applyAlignment="1">
      <alignment horizontal="left" vertical="top" wrapText="1"/>
    </xf>
    <xf numFmtId="0" fontId="111" fillId="0" borderId="0" xfId="3" applyFont="1" applyAlignment="1">
      <alignment horizontal="left" vertical="center" wrapText="1"/>
    </xf>
    <xf numFmtId="0" fontId="63" fillId="0" borderId="30" xfId="3" applyBorder="1" applyAlignment="1">
      <alignment horizontal="left" wrapText="1"/>
    </xf>
    <xf numFmtId="0" fontId="63" fillId="0" borderId="34" xfId="3" applyBorder="1" applyAlignment="1">
      <alignment horizontal="left" wrapText="1"/>
    </xf>
    <xf numFmtId="0" fontId="63" fillId="0" borderId="69" xfId="3" applyBorder="1" applyAlignment="1">
      <alignment horizontal="center" wrapText="1"/>
    </xf>
    <xf numFmtId="0" fontId="63" fillId="0" borderId="0" xfId="3" applyAlignment="1">
      <alignment horizontal="left" vertical="center" wrapText="1"/>
    </xf>
    <xf numFmtId="0" fontId="63" fillId="0" borderId="60" xfId="3" applyBorder="1" applyAlignment="1">
      <alignment horizontal="left" vertical="center" wrapText="1"/>
    </xf>
    <xf numFmtId="0" fontId="63" fillId="0" borderId="32" xfId="3" applyBorder="1" applyAlignment="1">
      <alignment horizontal="left" vertical="center" wrapText="1"/>
    </xf>
    <xf numFmtId="0" fontId="63" fillId="0" borderId="33" xfId="3" applyBorder="1" applyAlignment="1">
      <alignment horizontal="left" vertical="center" wrapText="1"/>
    </xf>
    <xf numFmtId="0" fontId="100" fillId="0" borderId="0" xfId="3" applyFont="1" applyAlignment="1">
      <alignment horizontal="center" vertical="center"/>
    </xf>
    <xf numFmtId="0" fontId="101" fillId="0" borderId="0" xfId="3" applyFont="1" applyAlignment="1">
      <alignment horizontal="center" vertical="top"/>
    </xf>
    <xf numFmtId="0" fontId="102" fillId="0" borderId="0" xfId="3" applyFont="1" applyAlignment="1">
      <alignment horizontal="center" vertical="top"/>
    </xf>
    <xf numFmtId="0" fontId="131" fillId="0" borderId="0" xfId="3" applyFont="1" applyAlignment="1">
      <alignment horizontal="center" vertical="top"/>
    </xf>
    <xf numFmtId="0" fontId="63" fillId="0" borderId="24" xfId="3" applyBorder="1" applyAlignment="1">
      <alignment horizontal="center" vertical="top" wrapText="1"/>
    </xf>
    <xf numFmtId="0" fontId="63" fillId="0" borderId="25" xfId="3" applyBorder="1" applyAlignment="1">
      <alignment horizontal="center" vertical="top" wrapText="1"/>
    </xf>
    <xf numFmtId="0" fontId="63" fillId="0" borderId="28" xfId="3" applyBorder="1" applyAlignment="1">
      <alignment horizontal="center" vertical="top" wrapText="1"/>
    </xf>
    <xf numFmtId="0" fontId="63" fillId="0" borderId="29" xfId="3" applyBorder="1" applyAlignment="1">
      <alignment horizontal="center" vertical="top" wrapText="1"/>
    </xf>
    <xf numFmtId="0" fontId="130" fillId="0" borderId="0" xfId="3" applyFont="1" applyAlignment="1">
      <alignment horizontal="center" vertical="top" wrapText="1"/>
    </xf>
    <xf numFmtId="0" fontId="130" fillId="0" borderId="0" xfId="3" applyFont="1" applyAlignment="1">
      <alignment horizontal="center" vertical="top"/>
    </xf>
    <xf numFmtId="0" fontId="108" fillId="0" borderId="0" xfId="3" applyFont="1" applyAlignment="1">
      <alignment horizontal="left" vertical="top" wrapText="1"/>
    </xf>
    <xf numFmtId="0" fontId="107" fillId="0" borderId="9" xfId="3" applyFont="1" applyBorder="1" applyAlignment="1">
      <alignment horizontal="center" vertical="top"/>
    </xf>
    <xf numFmtId="0" fontId="104" fillId="0" borderId="0" xfId="3" applyFont="1" applyAlignment="1">
      <alignment horizontal="center" vertical="top" wrapText="1"/>
    </xf>
    <xf numFmtId="0" fontId="104" fillId="0" borderId="0" xfId="3" applyFont="1" applyAlignment="1">
      <alignment horizontal="center" vertical="top"/>
    </xf>
    <xf numFmtId="0" fontId="105" fillId="0" borderId="0" xfId="3" applyFont="1" applyAlignment="1">
      <alignment horizontal="center" vertical="top"/>
    </xf>
    <xf numFmtId="0" fontId="64" fillId="0" borderId="0" xfId="3" applyFont="1" applyAlignment="1">
      <alignment horizontal="left" vertical="center" wrapText="1"/>
    </xf>
    <xf numFmtId="0" fontId="5" fillId="0" borderId="24" xfId="3" applyFont="1" applyBorder="1" applyAlignment="1">
      <alignment horizontal="left" vertical="top" wrapText="1"/>
    </xf>
    <xf numFmtId="0" fontId="5" fillId="0" borderId="26" xfId="3" applyFont="1" applyBorder="1" applyAlignment="1">
      <alignment horizontal="left" vertical="top" wrapText="1"/>
    </xf>
    <xf numFmtId="0" fontId="8" fillId="0" borderId="24" xfId="3" applyFont="1" applyBorder="1" applyAlignment="1">
      <alignment horizontal="left" vertical="top" wrapText="1"/>
    </xf>
    <xf numFmtId="0" fontId="8" fillId="0" borderId="26" xfId="3" applyFont="1" applyBorder="1" applyAlignment="1">
      <alignment horizontal="left" vertical="top" wrapText="1"/>
    </xf>
    <xf numFmtId="0" fontId="6" fillId="0" borderId="24" xfId="3" applyFont="1" applyBorder="1" applyAlignment="1">
      <alignment horizontal="left" vertical="top" wrapText="1"/>
    </xf>
    <xf numFmtId="0" fontId="6" fillId="0" borderId="25" xfId="3" applyFont="1" applyBorder="1" applyAlignment="1">
      <alignment horizontal="left" vertical="top" wrapText="1"/>
    </xf>
    <xf numFmtId="0" fontId="6" fillId="0" borderId="26" xfId="3" applyFont="1" applyBorder="1" applyAlignment="1">
      <alignment horizontal="left" vertical="top" wrapText="1"/>
    </xf>
    <xf numFmtId="0" fontId="63" fillId="0" borderId="24" xfId="3" applyBorder="1" applyAlignment="1">
      <alignment horizontal="left" vertical="top" wrapText="1"/>
    </xf>
    <xf numFmtId="0" fontId="63" fillId="0" borderId="25" xfId="3" applyBorder="1" applyAlignment="1">
      <alignment horizontal="left" vertical="top" wrapText="1"/>
    </xf>
    <xf numFmtId="0" fontId="63" fillId="0" borderId="26" xfId="3" applyBorder="1" applyAlignment="1">
      <alignment horizontal="left" vertical="top" wrapText="1"/>
    </xf>
    <xf numFmtId="0" fontId="8" fillId="0" borderId="57" xfId="3" applyFont="1" applyBorder="1" applyAlignment="1">
      <alignment horizontal="left" vertical="top" wrapText="1"/>
    </xf>
    <xf numFmtId="0" fontId="8" fillId="0" borderId="55" xfId="3" applyFont="1" applyBorder="1" applyAlignment="1">
      <alignment horizontal="left" vertical="top" wrapText="1"/>
    </xf>
    <xf numFmtId="0" fontId="6" fillId="0" borderId="57" xfId="3" applyFont="1" applyBorder="1" applyAlignment="1">
      <alignment horizontal="left" vertical="top" wrapText="1"/>
    </xf>
    <xf numFmtId="0" fontId="6" fillId="0" borderId="56" xfId="3" applyFont="1" applyBorder="1" applyAlignment="1">
      <alignment horizontal="left" vertical="top" wrapText="1"/>
    </xf>
    <xf numFmtId="0" fontId="6" fillId="0" borderId="55" xfId="3" applyFont="1" applyBorder="1" applyAlignment="1">
      <alignment horizontal="left" vertical="top" wrapText="1"/>
    </xf>
    <xf numFmtId="0" fontId="63" fillId="0" borderId="31" xfId="3" applyBorder="1" applyAlignment="1">
      <alignment horizontal="left" vertical="top" wrapText="1"/>
    </xf>
    <xf numFmtId="0" fontId="63" fillId="0" borderId="32" xfId="3" applyBorder="1" applyAlignment="1">
      <alignment horizontal="left" vertical="top" wrapText="1"/>
    </xf>
    <xf numFmtId="0" fontId="63" fillId="0" borderId="33" xfId="3" applyBorder="1" applyAlignment="1">
      <alignment horizontal="left" vertical="top" wrapText="1"/>
    </xf>
    <xf numFmtId="0" fontId="63" fillId="0" borderId="30" xfId="3" applyBorder="1" applyAlignment="1">
      <alignment horizontal="left" vertical="top" wrapText="1"/>
    </xf>
    <xf numFmtId="0" fontId="63" fillId="0" borderId="35" xfId="3" applyBorder="1" applyAlignment="1">
      <alignment horizontal="left" vertical="top" wrapText="1"/>
    </xf>
    <xf numFmtId="0" fontId="17" fillId="0" borderId="24" xfId="3" applyFont="1" applyBorder="1" applyAlignment="1">
      <alignment horizontal="center" vertical="top" wrapText="1"/>
    </xf>
    <xf numFmtId="0" fontId="17" fillId="0" borderId="25" xfId="3" applyFont="1" applyBorder="1" applyAlignment="1">
      <alignment horizontal="center" vertical="top" wrapText="1"/>
    </xf>
    <xf numFmtId="0" fontId="17" fillId="0" borderId="26" xfId="3" applyFont="1" applyBorder="1" applyAlignment="1">
      <alignment horizontal="center" vertical="top" wrapText="1"/>
    </xf>
    <xf numFmtId="0" fontId="63" fillId="0" borderId="58" xfId="3" applyBorder="1" applyAlignment="1">
      <alignment horizontal="left" vertical="top" wrapText="1"/>
    </xf>
    <xf numFmtId="0" fontId="63" fillId="0" borderId="54" xfId="3" applyBorder="1" applyAlignment="1">
      <alignment horizontal="left" vertical="top" wrapText="1"/>
    </xf>
    <xf numFmtId="0" fontId="8" fillId="0" borderId="25" xfId="3" applyFont="1" applyBorder="1" applyAlignment="1">
      <alignment horizontal="left" vertical="top" wrapText="1"/>
    </xf>
    <xf numFmtId="0" fontId="63" fillId="0" borderId="50" xfId="3" applyBorder="1" applyAlignment="1">
      <alignment horizontal="center" vertical="top" wrapText="1"/>
    </xf>
    <xf numFmtId="0" fontId="8" fillId="0" borderId="30" xfId="3" applyFont="1" applyBorder="1" applyAlignment="1">
      <alignment horizontal="left" wrapText="1"/>
    </xf>
    <xf numFmtId="0" fontId="8" fillId="0" borderId="34" xfId="3" applyFont="1" applyBorder="1" applyAlignment="1">
      <alignment horizontal="left" wrapText="1"/>
    </xf>
    <xf numFmtId="0" fontId="8" fillId="0" borderId="27" xfId="3" applyFont="1" applyBorder="1" applyAlignment="1">
      <alignment horizontal="center" vertical="top" wrapText="1"/>
    </xf>
    <xf numFmtId="0" fontId="8" fillId="0" borderId="31" xfId="3" applyFont="1" applyBorder="1" applyAlignment="1">
      <alignment horizontal="center" vertical="top" wrapText="1"/>
    </xf>
    <xf numFmtId="0" fontId="8" fillId="0" borderId="30" xfId="3" applyFont="1" applyBorder="1" applyAlignment="1">
      <alignment horizontal="center" wrapText="1"/>
    </xf>
    <xf numFmtId="0" fontId="8" fillId="0" borderId="34" xfId="3" applyFont="1" applyBorder="1" applyAlignment="1">
      <alignment horizontal="center" wrapText="1"/>
    </xf>
    <xf numFmtId="0" fontId="8" fillId="0" borderId="24" xfId="3" applyFont="1" applyBorder="1" applyAlignment="1">
      <alignment horizontal="center" vertical="center" wrapText="1"/>
    </xf>
    <xf numFmtId="0" fontId="8" fillId="0" borderId="26" xfId="3" applyFont="1" applyBorder="1" applyAlignment="1">
      <alignment horizontal="center" vertical="center" wrapText="1"/>
    </xf>
    <xf numFmtId="0" fontId="8" fillId="0" borderId="24" xfId="3" applyFont="1" applyBorder="1" applyAlignment="1">
      <alignment horizontal="center" vertical="top" wrapText="1"/>
    </xf>
    <xf numFmtId="0" fontId="8" fillId="0" borderId="25" xfId="3" applyFont="1" applyBorder="1" applyAlignment="1">
      <alignment horizontal="center" vertical="top" wrapText="1"/>
    </xf>
    <xf numFmtId="0" fontId="8" fillId="0" borderId="26" xfId="3" applyFont="1" applyBorder="1" applyAlignment="1">
      <alignment horizontal="center" vertical="top" wrapText="1"/>
    </xf>
    <xf numFmtId="0" fontId="0" fillId="0" borderId="0" xfId="0" applyAlignment="1">
      <alignment horizontal="center" wrapText="1"/>
    </xf>
    <xf numFmtId="0" fontId="0" fillId="0" borderId="0" xfId="0" applyAlignment="1">
      <alignment horizontal="left" wrapText="1"/>
    </xf>
    <xf numFmtId="0" fontId="0" fillId="0" borderId="0" xfId="0" applyAlignment="1">
      <alignment horizontal="center" vertical="top" wrapText="1"/>
    </xf>
    <xf numFmtId="0" fontId="69" fillId="0" borderId="0" xfId="0" applyFont="1" applyAlignment="1">
      <alignment horizontal="left" wrapText="1"/>
    </xf>
    <xf numFmtId="3" fontId="52" fillId="0" borderId="0" xfId="4" applyNumberFormat="1" applyFont="1" applyAlignment="1">
      <alignment horizontal="center" wrapText="1"/>
    </xf>
    <xf numFmtId="171" fontId="8" fillId="0" borderId="0" xfId="2" applyNumberFormat="1" applyFont="1" applyAlignment="1">
      <alignment horizontal="left"/>
    </xf>
    <xf numFmtId="0" fontId="88" fillId="0" borderId="0" xfId="4" applyFont="1" applyAlignment="1">
      <alignment horizontal="center" wrapText="1"/>
    </xf>
    <xf numFmtId="0" fontId="86" fillId="0" borderId="0" xfId="4" applyFont="1" applyAlignment="1">
      <alignment horizontal="center" wrapText="1"/>
    </xf>
    <xf numFmtId="0" fontId="76" fillId="4" borderId="0" xfId="4" applyFont="1" applyFill="1" applyAlignment="1">
      <alignment horizontal="left" wrapText="1"/>
    </xf>
    <xf numFmtId="0" fontId="76" fillId="4" borderId="0" xfId="4" applyFont="1" applyFill="1" applyAlignment="1">
      <alignment horizontal="left" vertical="center" wrapText="1"/>
    </xf>
    <xf numFmtId="0" fontId="79" fillId="4" borderId="0" xfId="4" applyFont="1" applyFill="1" applyAlignment="1">
      <alignment horizontal="left" vertical="center" wrapText="1"/>
    </xf>
    <xf numFmtId="3" fontId="77" fillId="4" borderId="0" xfId="4" applyNumberFormat="1" applyFont="1" applyFill="1" applyAlignment="1">
      <alignment horizontal="left" vertical="center"/>
    </xf>
    <xf numFmtId="4" fontId="83" fillId="0" borderId="0" xfId="2" applyNumberFormat="1" applyFont="1" applyAlignment="1">
      <alignment horizontal="left" indent="1"/>
    </xf>
    <xf numFmtId="0" fontId="84" fillId="0" borderId="0" xfId="0" applyFont="1" applyAlignment="1">
      <alignment horizontal="center" vertical="center" wrapText="1"/>
    </xf>
    <xf numFmtId="0" fontId="83" fillId="0" borderId="0" xfId="4" applyFont="1" applyAlignment="1">
      <alignment horizontal="left" vertical="center" indent="1"/>
    </xf>
    <xf numFmtId="0" fontId="6" fillId="0" borderId="0" xfId="3" applyFont="1" applyAlignment="1">
      <alignment horizontal="left" vertical="top" wrapText="1"/>
    </xf>
    <xf numFmtId="0" fontId="91" fillId="0" borderId="0" xfId="3" applyFont="1" applyAlignment="1">
      <alignment horizontal="left" vertical="top" wrapText="1"/>
    </xf>
    <xf numFmtId="0" fontId="21" fillId="0" borderId="0" xfId="3" applyFont="1" applyAlignment="1">
      <alignment horizontal="center" vertical="top"/>
    </xf>
    <xf numFmtId="0" fontId="25" fillId="0" borderId="0" xfId="3" applyFont="1" applyAlignment="1">
      <alignment horizontal="left" vertical="top" wrapText="1"/>
    </xf>
    <xf numFmtId="0" fontId="15" fillId="0" borderId="0" xfId="3" applyFont="1" applyAlignment="1">
      <alignment horizontal="center" vertical="top"/>
    </xf>
  </cellXfs>
  <cellStyles count="8">
    <cellStyle name="Comma" xfId="2" builtinId="3"/>
    <cellStyle name="Currency" xfId="1" builtinId="4"/>
    <cellStyle name="Hyperlink" xfId="7" builtinId="8"/>
    <cellStyle name="Normal" xfId="0" builtinId="0"/>
    <cellStyle name="Normal 2" xfId="3" xr:uid="{00000000-0005-0000-0000-000003000000}"/>
    <cellStyle name="Normal 2 2" xfId="4" xr:uid="{00000000-0005-0000-0000-000004000000}"/>
    <cellStyle name="Normal 3" xfId="5" xr:uid="{00000000-0005-0000-0000-000005000000}"/>
    <cellStyle name="Percent" xfId="6"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drawings/_rels/drawing2.x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3.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5.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_rels/vmlDrawing6.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7.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8.v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image" Target="../media/image3.jpeg"/></Relationships>
</file>

<file path=xl/drawings/_rels/vmlDrawing9.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10.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11.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12.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7.png"/></Relationships>
</file>

<file path=xl/drawings/_rels/vmlDrawing14.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38100</xdr:colOff>
          <xdr:row>44</xdr:row>
          <xdr:rowOff>160020</xdr:rowOff>
        </xdr:from>
        <xdr:to>
          <xdr:col>3</xdr:col>
          <xdr:colOff>266700</xdr:colOff>
          <xdr:row>46</xdr:row>
          <xdr:rowOff>22860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45</xdr:row>
          <xdr:rowOff>160020</xdr:rowOff>
        </xdr:from>
        <xdr:to>
          <xdr:col>3</xdr:col>
          <xdr:colOff>266700</xdr:colOff>
          <xdr:row>47</xdr:row>
          <xdr:rowOff>30480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46</xdr:row>
          <xdr:rowOff>160020</xdr:rowOff>
        </xdr:from>
        <xdr:to>
          <xdr:col>3</xdr:col>
          <xdr:colOff>266700</xdr:colOff>
          <xdr:row>48</xdr:row>
          <xdr:rowOff>30480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47</xdr:row>
          <xdr:rowOff>160020</xdr:rowOff>
        </xdr:from>
        <xdr:to>
          <xdr:col>3</xdr:col>
          <xdr:colOff>266700</xdr:colOff>
          <xdr:row>49</xdr:row>
          <xdr:rowOff>30480</xdr:rowOff>
        </xdr:to>
        <xdr:sp macro="" textlink="">
          <xdr:nvSpPr>
            <xdr:cNvPr id="1034" name="Check Box 10"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45720</xdr:colOff>
          <xdr:row>48</xdr:row>
          <xdr:rowOff>144780</xdr:rowOff>
        </xdr:from>
        <xdr:to>
          <xdr:col>3</xdr:col>
          <xdr:colOff>274320</xdr:colOff>
          <xdr:row>50</xdr:row>
          <xdr:rowOff>22860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0100-00000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49</xdr:row>
          <xdr:rowOff>152400</xdr:rowOff>
        </xdr:from>
        <xdr:to>
          <xdr:col>3</xdr:col>
          <xdr:colOff>266700</xdr:colOff>
          <xdr:row>51</xdr:row>
          <xdr:rowOff>22860</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0100-00000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50</xdr:row>
          <xdr:rowOff>160020</xdr:rowOff>
        </xdr:from>
        <xdr:to>
          <xdr:col>3</xdr:col>
          <xdr:colOff>266700</xdr:colOff>
          <xdr:row>52</xdr:row>
          <xdr:rowOff>22860</xdr:rowOff>
        </xdr:to>
        <xdr:sp macro="" textlink="">
          <xdr:nvSpPr>
            <xdr:cNvPr id="1040" name="Check Box 16" hidden="1">
              <a:extLst>
                <a:ext uri="{63B3BB69-23CF-44E3-9099-C40C66FF867C}">
                  <a14:compatExt spid="_x0000_s1040"/>
                </a:ext>
                <a:ext uri="{FF2B5EF4-FFF2-40B4-BE49-F238E27FC236}">
                  <a16:creationId xmlns:a16="http://schemas.microsoft.com/office/drawing/2014/main" id="{00000000-0008-0000-0100-00001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12</xdr:col>
      <xdr:colOff>622300</xdr:colOff>
      <xdr:row>0</xdr:row>
      <xdr:rowOff>0</xdr:rowOff>
    </xdr:from>
    <xdr:to>
      <xdr:col>25</xdr:col>
      <xdr:colOff>172720</xdr:colOff>
      <xdr:row>36</xdr:row>
      <xdr:rowOff>268490</xdr:rowOff>
    </xdr:to>
    <xdr:pic>
      <xdr:nvPicPr>
        <xdr:cNvPr id="3" name="Picture 2">
          <a:extLst>
            <a:ext uri="{FF2B5EF4-FFF2-40B4-BE49-F238E27FC236}">
              <a16:creationId xmlns:a16="http://schemas.microsoft.com/office/drawing/2014/main" id="{00000000-0008-0000-1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372600" y="0"/>
          <a:ext cx="7797800" cy="8498649"/>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FINANCE2\import%20and%20export\import%20and%20export\Dugda%20document\Dugda%20export\Decofresh%20Holland\packing%20list%20&amp;%20Inovice%20file%202007\3\today%20Docu\Shipment\INVOICE%20275.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cking list "/>
      <sheetName val="comm. invoice "/>
      <sheetName val="Sheet1"/>
      <sheetName val="Declaration"/>
    </sheetNames>
    <sheetDataSet>
      <sheetData sheetId="0"/>
      <sheetData sheetId="1"/>
      <sheetData sheetId="2"/>
      <sheetData sheetId="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mailto:coffee@praxis.com.et" TargetMode="Externa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9.bin"/><Relationship Id="rId1" Type="http://schemas.openxmlformats.org/officeDocument/2006/relationships/hyperlink" Target="http://www.dhakaboracoffee.com/" TargetMode="Externa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rinterSettings" Target="../printerSettings/printerSettings10.bin"/><Relationship Id="rId1" Type="http://schemas.openxmlformats.org/officeDocument/2006/relationships/hyperlink" Target="http://www.dhakaboracoffee.com/" TargetMode="Externa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printerSettings" Target="../printerSettings/printerSettings11.bin"/><Relationship Id="rId1" Type="http://schemas.openxmlformats.org/officeDocument/2006/relationships/hyperlink" Target="http://www.dhakaboracoffee.com/" TargetMode="External"/></Relationships>
</file>

<file path=xl/worksheets/_rels/sheet12.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printerSettings" Target="../printerSettings/printerSettings13.bin"/><Relationship Id="rId1" Type="http://schemas.openxmlformats.org/officeDocument/2006/relationships/hyperlink" Target="http://www.dhakaboracoffee.com/" TargetMode="Externa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printerSettings" Target="../printerSettings/printerSettings14.bin"/><Relationship Id="rId1" Type="http://schemas.openxmlformats.org/officeDocument/2006/relationships/hyperlink" Target="http://www.dhakaboracoffee.com/" TargetMode="External"/></Relationships>
</file>

<file path=xl/worksheets/_rels/sheet15.xml.rels><?xml version="1.0" encoding="UTF-8" standalone="yes"?>
<Relationships xmlns="http://schemas.openxmlformats.org/package/2006/relationships"><Relationship Id="rId2" Type="http://schemas.openxmlformats.org/officeDocument/2006/relationships/vmlDrawing" Target="../drawings/vmlDrawing8.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printerSettings" Target="../printerSettings/printerSettings16.bin"/><Relationship Id="rId2" Type="http://schemas.openxmlformats.org/officeDocument/2006/relationships/hyperlink" Target="http://www.dhakaboracoffee.com/" TargetMode="External"/><Relationship Id="rId1" Type="http://schemas.openxmlformats.org/officeDocument/2006/relationships/hyperlink" Target="mailto:SHIPPING@WAMA.CH" TargetMode="External"/><Relationship Id="rId4" Type="http://schemas.openxmlformats.org/officeDocument/2006/relationships/vmlDrawing" Target="../drawings/vmlDrawing9.v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printerSettings" Target="../printerSettings/printerSettings17.bin"/><Relationship Id="rId1" Type="http://schemas.openxmlformats.org/officeDocument/2006/relationships/hyperlink" Target="http://www.dhakaboracoffee.com/" TargetMode="Externa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printerSettings" Target="../printerSettings/printerSettings18.bin"/><Relationship Id="rId1" Type="http://schemas.openxmlformats.org/officeDocument/2006/relationships/hyperlink" Target="http://www.dhakaboracoffee.com/" TargetMode="Externa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printerSettings" Target="../printerSettings/printerSettings19.bin"/><Relationship Id="rId1" Type="http://schemas.openxmlformats.org/officeDocument/2006/relationships/hyperlink" Target="http://www.dhakaboracoffee.com/" TargetMode="Externa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2.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printerSettings" Target="../printerSettings/printerSettings24.bin"/><Relationship Id="rId1" Type="http://schemas.openxmlformats.org/officeDocument/2006/relationships/hyperlink" Target="http://www.dhakaboracoffee.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K26"/>
  <sheetViews>
    <sheetView workbookViewId="0">
      <selection activeCell="D17" sqref="D17"/>
    </sheetView>
  </sheetViews>
  <sheetFormatPr defaultRowHeight="14.4"/>
  <cols>
    <col min="1" max="1" width="29.88671875" customWidth="1"/>
    <col min="2" max="2" width="19.5546875" customWidth="1"/>
    <col min="3" max="3" width="15.44140625" customWidth="1"/>
    <col min="4" max="4" width="23.88671875" customWidth="1"/>
    <col min="5" max="5" width="8.88671875" customWidth="1"/>
    <col min="7" max="7" width="8.33203125" customWidth="1"/>
    <col min="8" max="8" width="10.109375" customWidth="1"/>
    <col min="9" max="9" width="15.6640625" customWidth="1"/>
    <col min="10" max="10" width="18.77734375" customWidth="1"/>
    <col min="11" max="11" width="24.6640625" customWidth="1"/>
  </cols>
  <sheetData>
    <row r="1" spans="1:11" ht="30.6" customHeight="1" thickBot="1">
      <c r="A1" s="7" t="s">
        <v>5</v>
      </c>
      <c r="B1" s="424" t="s">
        <v>554</v>
      </c>
      <c r="C1" s="425"/>
      <c r="D1" s="426"/>
      <c r="G1" s="18" t="s">
        <v>433</v>
      </c>
      <c r="H1" s="419" t="s">
        <v>563</v>
      </c>
      <c r="I1" s="420"/>
      <c r="J1" s="421"/>
    </row>
    <row r="2" spans="1:11" ht="57.6" customHeight="1" thickBot="1">
      <c r="A2" s="324" t="s">
        <v>6</v>
      </c>
      <c r="B2" s="427" t="s">
        <v>555</v>
      </c>
      <c r="C2" s="428"/>
      <c r="D2" s="429"/>
      <c r="G2" s="1" t="s">
        <v>434</v>
      </c>
      <c r="H2" s="422" t="s">
        <v>435</v>
      </c>
      <c r="I2" s="422"/>
      <c r="J2" s="423"/>
    </row>
    <row r="3" spans="1:11" ht="15" thickBot="1">
      <c r="A3" s="325" t="s">
        <v>451</v>
      </c>
      <c r="B3" s="325" t="s">
        <v>556</v>
      </c>
    </row>
    <row r="4" spans="1:11" ht="15" thickBot="1">
      <c r="A4" s="440" t="s">
        <v>7</v>
      </c>
      <c r="B4" s="441"/>
      <c r="C4" s="432"/>
      <c r="E4" s="430" t="s">
        <v>8</v>
      </c>
      <c r="F4" s="431"/>
      <c r="G4" s="432"/>
      <c r="H4" s="227" t="s">
        <v>422</v>
      </c>
      <c r="I4" s="2" t="s">
        <v>353</v>
      </c>
      <c r="J4" t="s">
        <v>450</v>
      </c>
    </row>
    <row r="5" spans="1:11" ht="24.6" customHeight="1" thickBot="1">
      <c r="A5" s="436"/>
      <c r="B5" s="437"/>
      <c r="C5" s="438"/>
      <c r="E5" s="433" t="s">
        <v>15</v>
      </c>
      <c r="F5" s="434"/>
      <c r="G5" s="435"/>
      <c r="H5" s="228">
        <v>60</v>
      </c>
      <c r="I5" s="3">
        <v>0.75</v>
      </c>
      <c r="J5">
        <v>60.75</v>
      </c>
    </row>
    <row r="6" spans="1:11" ht="23.4" customHeight="1" thickBot="1">
      <c r="A6" s="436"/>
      <c r="B6" s="437"/>
      <c r="C6" s="438"/>
      <c r="E6" s="413" t="s">
        <v>16</v>
      </c>
      <c r="F6" s="414"/>
      <c r="G6" s="415"/>
      <c r="H6" s="225">
        <v>50</v>
      </c>
      <c r="I6" s="4">
        <v>0.625</v>
      </c>
      <c r="J6">
        <v>50.625</v>
      </c>
      <c r="K6" s="125" t="s">
        <v>259</v>
      </c>
    </row>
    <row r="7" spans="1:11" ht="20.399999999999999" customHeight="1" thickBot="1">
      <c r="A7" s="436"/>
      <c r="B7" s="437"/>
      <c r="C7" s="438"/>
      <c r="E7" s="413" t="s">
        <v>17</v>
      </c>
      <c r="F7" s="414"/>
      <c r="G7" s="415"/>
      <c r="H7" s="225">
        <v>30</v>
      </c>
      <c r="I7" s="4">
        <v>0.375</v>
      </c>
      <c r="J7">
        <v>30.375</v>
      </c>
      <c r="K7" s="1" t="s">
        <v>174</v>
      </c>
    </row>
    <row r="8" spans="1:11" ht="22.95" customHeight="1" thickBot="1">
      <c r="A8" s="439"/>
      <c r="B8" s="420"/>
      <c r="C8" s="421"/>
      <c r="E8" s="413" t="s">
        <v>18</v>
      </c>
      <c r="F8" s="414"/>
      <c r="G8" s="415"/>
      <c r="H8" s="225"/>
      <c r="I8" s="4"/>
    </row>
    <row r="9" spans="1:11">
      <c r="E9" s="413" t="s">
        <v>118</v>
      </c>
      <c r="F9" s="414"/>
      <c r="G9" s="415"/>
      <c r="H9" s="225"/>
      <c r="I9" s="4"/>
    </row>
    <row r="10" spans="1:11" ht="15" thickBot="1">
      <c r="E10" s="413" t="s">
        <v>19</v>
      </c>
      <c r="F10" s="414"/>
      <c r="G10" s="415"/>
      <c r="H10" s="225"/>
      <c r="I10" s="4"/>
    </row>
    <row r="11" spans="1:11" ht="15" thickBot="1">
      <c r="A11" s="2" t="s">
        <v>9</v>
      </c>
      <c r="E11" s="416" t="s">
        <v>20</v>
      </c>
      <c r="F11" s="417"/>
      <c r="G11" s="418"/>
      <c r="H11" s="226">
        <v>19200</v>
      </c>
      <c r="I11" s="5"/>
    </row>
    <row r="12" spans="1:11" ht="15" thickBot="1">
      <c r="A12" s="1" t="s">
        <v>292</v>
      </c>
    </row>
    <row r="14" spans="1:11" ht="15" thickBot="1"/>
    <row r="15" spans="1:11" ht="15" thickBot="1">
      <c r="A15" s="2" t="s">
        <v>10</v>
      </c>
      <c r="D15" s="2" t="s">
        <v>11</v>
      </c>
    </row>
    <row r="16" spans="1:11" ht="15" thickBot="1">
      <c r="A16" s="3" t="s">
        <v>12</v>
      </c>
      <c r="D16" s="400" t="s">
        <v>564</v>
      </c>
    </row>
    <row r="17" spans="1:9" ht="15" thickBot="1">
      <c r="A17" s="4" t="s">
        <v>1</v>
      </c>
    </row>
    <row r="18" spans="1:9" ht="15" thickBot="1">
      <c r="A18" s="4" t="s">
        <v>13</v>
      </c>
      <c r="D18" s="410" t="s">
        <v>532</v>
      </c>
      <c r="E18" s="411"/>
      <c r="F18" s="411"/>
      <c r="G18" s="411"/>
      <c r="H18" s="411"/>
      <c r="I18" s="412"/>
    </row>
    <row r="19" spans="1:9">
      <c r="A19" s="4" t="s">
        <v>14</v>
      </c>
      <c r="D19" s="132" t="s">
        <v>397</v>
      </c>
      <c r="E19" s="404" t="s">
        <v>442</v>
      </c>
      <c r="F19" s="404"/>
      <c r="G19" s="404"/>
      <c r="H19" s="404"/>
      <c r="I19" s="405"/>
    </row>
    <row r="20" spans="1:9" ht="15" thickBot="1">
      <c r="A20" s="5"/>
      <c r="D20" s="37" t="s">
        <v>398</v>
      </c>
      <c r="E20" s="406" t="s">
        <v>443</v>
      </c>
      <c r="F20" s="406"/>
      <c r="G20" s="406"/>
      <c r="H20" s="406"/>
      <c r="I20" s="407"/>
    </row>
    <row r="21" spans="1:9" ht="15" thickBot="1">
      <c r="D21" s="1" t="s">
        <v>399</v>
      </c>
      <c r="E21" s="408" t="s">
        <v>181</v>
      </c>
      <c r="F21" s="408"/>
      <c r="G21" s="408"/>
      <c r="H21" s="408"/>
      <c r="I21" s="409"/>
    </row>
    <row r="22" spans="1:9" ht="15" thickBot="1">
      <c r="A22" s="2" t="s">
        <v>140</v>
      </c>
    </row>
    <row r="23" spans="1:9">
      <c r="A23" s="37" t="s">
        <v>141</v>
      </c>
    </row>
    <row r="24" spans="1:9">
      <c r="A24" s="37"/>
    </row>
    <row r="25" spans="1:9">
      <c r="A25" s="37"/>
    </row>
    <row r="26" spans="1:9" ht="15" thickBot="1">
      <c r="A26" s="1"/>
    </row>
  </sheetData>
  <mergeCells count="21">
    <mergeCell ref="H1:J1"/>
    <mergeCell ref="H2:J2"/>
    <mergeCell ref="E9:G9"/>
    <mergeCell ref="B1:D1"/>
    <mergeCell ref="B2:D2"/>
    <mergeCell ref="E4:G4"/>
    <mergeCell ref="E5:G5"/>
    <mergeCell ref="A5:C5"/>
    <mergeCell ref="A6:C6"/>
    <mergeCell ref="A7:C7"/>
    <mergeCell ref="A8:C8"/>
    <mergeCell ref="A4:C4"/>
    <mergeCell ref="E6:G6"/>
    <mergeCell ref="E7:G7"/>
    <mergeCell ref="E8:G8"/>
    <mergeCell ref="E19:I19"/>
    <mergeCell ref="E20:I20"/>
    <mergeCell ref="E21:I21"/>
    <mergeCell ref="D18:I18"/>
    <mergeCell ref="E10:G10"/>
    <mergeCell ref="E11:G11"/>
  </mergeCells>
  <hyperlinks>
    <hyperlink ref="H1" r:id="rId1" xr:uid="{66931D51-DE4A-43F6-896C-1DD31E497004}"/>
  </hyperlinks>
  <pageMargins left="0.7" right="0.7" top="0.75" bottom="0.75" header="0.3" footer="0.3"/>
  <pageSetup orientation="portrait"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B1:AF65"/>
  <sheetViews>
    <sheetView topLeftCell="A3" zoomScale="76" workbookViewId="0">
      <selection activeCell="G12" sqref="G12"/>
    </sheetView>
  </sheetViews>
  <sheetFormatPr defaultRowHeight="14.4"/>
  <cols>
    <col min="1" max="1" width="11.33203125" customWidth="1"/>
    <col min="2" max="2" width="30.44140625" customWidth="1"/>
    <col min="3" max="3" width="41.5546875" customWidth="1"/>
    <col min="4" max="4" width="18.44140625" customWidth="1"/>
    <col min="5" max="5" width="18.5546875" customWidth="1"/>
    <col min="6" max="6" width="14.5546875" customWidth="1"/>
    <col min="7" max="7" width="17.33203125" customWidth="1"/>
    <col min="8" max="8" width="21.33203125" customWidth="1"/>
    <col min="9" max="9" width="17.88671875" customWidth="1"/>
    <col min="10" max="10" width="12" customWidth="1"/>
    <col min="11" max="11" width="13.88671875" customWidth="1"/>
    <col min="12" max="12" width="11.44140625" customWidth="1"/>
  </cols>
  <sheetData>
    <row r="1" spans="2:32" ht="18">
      <c r="B1" s="43" t="s">
        <v>126</v>
      </c>
    </row>
    <row r="4" spans="2:32" ht="15" thickBot="1"/>
    <row r="5" spans="2:32" ht="22.2" customHeight="1" thickBot="1">
      <c r="B5" s="17" t="s">
        <v>72</v>
      </c>
      <c r="C5" s="401"/>
      <c r="AF5" t="s">
        <v>420</v>
      </c>
    </row>
    <row r="6" spans="2:32" ht="7.95" customHeight="1" thickBot="1">
      <c r="B6" s="17"/>
      <c r="AF6" t="s">
        <v>421</v>
      </c>
    </row>
    <row r="7" spans="2:32" ht="20.399999999999999" customHeight="1" thickBot="1">
      <c r="B7" s="17" t="s">
        <v>73</v>
      </c>
      <c r="C7" s="402"/>
    </row>
    <row r="8" spans="2:32" ht="8.4" customHeight="1" thickBot="1">
      <c r="B8" s="17"/>
    </row>
    <row r="9" spans="2:32" ht="47.4" customHeight="1" thickBot="1">
      <c r="B9" s="17" t="s">
        <v>74</v>
      </c>
      <c r="C9" s="401"/>
    </row>
    <row r="10" spans="2:32" ht="8.4" customHeight="1" thickBot="1">
      <c r="B10" s="17"/>
    </row>
    <row r="11" spans="2:32" ht="63" customHeight="1" thickBot="1">
      <c r="B11" s="17" t="s">
        <v>75</v>
      </c>
      <c r="C11" s="403"/>
    </row>
    <row r="12" spans="2:32" ht="15.6" customHeight="1" thickBot="1">
      <c r="B12" s="17"/>
    </row>
    <row r="13" spans="2:32" ht="52.95" customHeight="1" thickBot="1">
      <c r="B13" s="442" t="s">
        <v>76</v>
      </c>
      <c r="C13" s="19" t="s">
        <v>287</v>
      </c>
      <c r="D13" s="455"/>
      <c r="E13" s="411"/>
      <c r="F13" s="412"/>
    </row>
    <row r="14" spans="2:32" ht="25.95" customHeight="1" thickBot="1">
      <c r="B14" s="443"/>
      <c r="C14" s="19" t="s">
        <v>114</v>
      </c>
      <c r="D14" s="439" t="s">
        <v>118</v>
      </c>
      <c r="E14" s="420"/>
      <c r="F14" s="421"/>
    </row>
    <row r="15" spans="2:32" ht="25.95" customHeight="1" thickBot="1">
      <c r="B15" s="443"/>
      <c r="C15" s="19" t="s">
        <v>115</v>
      </c>
      <c r="D15" s="439">
        <v>100</v>
      </c>
      <c r="E15" s="420"/>
      <c r="F15" s="421"/>
    </row>
    <row r="16" spans="2:32" ht="25.95" customHeight="1" thickBot="1">
      <c r="B16" s="443"/>
      <c r="C16" s="17" t="s">
        <v>78</v>
      </c>
      <c r="D16" s="446">
        <v>154</v>
      </c>
      <c r="E16" s="447"/>
      <c r="F16" s="448"/>
    </row>
    <row r="17" spans="2:8" ht="25.95" customHeight="1" thickBot="1">
      <c r="B17" s="443"/>
      <c r="C17" s="19" t="s">
        <v>117</v>
      </c>
      <c r="D17" s="439" t="s">
        <v>15</v>
      </c>
      <c r="E17" s="420"/>
      <c r="F17" s="421"/>
    </row>
    <row r="18" spans="2:8" ht="25.95" customHeight="1" thickBot="1">
      <c r="B18" s="443"/>
      <c r="C18" s="19" t="s">
        <v>77</v>
      </c>
      <c r="D18" s="446">
        <v>320</v>
      </c>
      <c r="E18" s="447"/>
      <c r="F18" s="448"/>
    </row>
    <row r="19" spans="2:8" ht="25.95" customHeight="1" thickBot="1">
      <c r="B19" s="443"/>
      <c r="C19" s="19" t="s">
        <v>116</v>
      </c>
      <c r="D19" s="449">
        <f>(D16/D15)*D28</f>
        <v>65186.204160000001</v>
      </c>
      <c r="E19" s="450"/>
      <c r="F19" s="451"/>
    </row>
    <row r="20" spans="2:8" ht="25.95" customHeight="1" thickBot="1">
      <c r="B20" s="443"/>
      <c r="C20" s="19" t="s">
        <v>98</v>
      </c>
      <c r="D20" s="439">
        <f>D26/60</f>
        <v>320</v>
      </c>
      <c r="E20" s="420"/>
      <c r="F20" s="421"/>
      <c r="H20">
        <f>D20*'Form Configuration'!I5</f>
        <v>240</v>
      </c>
    </row>
    <row r="21" spans="2:8" ht="25.95" customHeight="1" thickBot="1">
      <c r="B21" s="443"/>
      <c r="C21" s="19" t="s">
        <v>99</v>
      </c>
      <c r="D21" s="445">
        <f>D19/D20</f>
        <v>203.70688799999999</v>
      </c>
      <c r="E21" s="420"/>
      <c r="F21" s="421"/>
    </row>
    <row r="22" spans="2:8" ht="25.95" customHeight="1" thickBot="1">
      <c r="B22" s="443"/>
      <c r="C22" s="19" t="s">
        <v>100</v>
      </c>
      <c r="D22" s="439">
        <f>D26/50</f>
        <v>384</v>
      </c>
      <c r="E22" s="420"/>
      <c r="F22" s="421"/>
      <c r="H22">
        <f>D22*'Form Configuration'!I6</f>
        <v>240</v>
      </c>
    </row>
    <row r="23" spans="2:8" ht="25.95" customHeight="1" thickBot="1">
      <c r="B23" s="443"/>
      <c r="C23" s="19" t="s">
        <v>101</v>
      </c>
      <c r="D23" s="445">
        <f>D19/D22</f>
        <v>169.75574</v>
      </c>
      <c r="E23" s="420"/>
      <c r="F23" s="421"/>
    </row>
    <row r="24" spans="2:8" ht="25.95" customHeight="1" thickBot="1">
      <c r="B24" s="443"/>
      <c r="C24" s="19" t="s">
        <v>102</v>
      </c>
      <c r="D24" s="439">
        <f>D26/30</f>
        <v>640</v>
      </c>
      <c r="E24" s="420"/>
      <c r="F24" s="421"/>
      <c r="H24">
        <f>D24*'Form Configuration'!I7</f>
        <v>240</v>
      </c>
    </row>
    <row r="25" spans="2:8" ht="25.95" customHeight="1" thickBot="1">
      <c r="B25" s="443"/>
      <c r="C25" s="19" t="s">
        <v>103</v>
      </c>
      <c r="D25" s="445">
        <f>D19/D24</f>
        <v>101.853444</v>
      </c>
      <c r="E25" s="420"/>
      <c r="F25" s="421"/>
    </row>
    <row r="26" spans="2:8" ht="25.95" customHeight="1" thickBot="1">
      <c r="B26" s="443"/>
      <c r="C26" s="19" t="s">
        <v>105</v>
      </c>
      <c r="D26" s="439">
        <f>IF(D17="Kg",D18,IF(D17="Bag of 60Kg",D18*60,IF(D17="Bag of 50Kg",D18*50,IF(D17="Bag of 30Kg",D18*30,IF(D17="Lbs",D18/2.2046,IF(D17="Metric Ton",D18*1000,IF(D17="Bulk",D18*19200,"-")))))))</f>
        <v>19200</v>
      </c>
      <c r="E26" s="420"/>
      <c r="F26" s="421"/>
      <c r="H26">
        <f>D26+H20</f>
        <v>19440</v>
      </c>
    </row>
    <row r="27" spans="2:8" ht="25.95" customHeight="1" thickBot="1">
      <c r="B27" s="443"/>
      <c r="C27" s="19" t="s">
        <v>104</v>
      </c>
      <c r="D27" s="445">
        <f>D19/D26</f>
        <v>3.3951148</v>
      </c>
      <c r="E27" s="420"/>
      <c r="F27" s="421"/>
    </row>
    <row r="28" spans="2:8" ht="25.95" customHeight="1" thickBot="1">
      <c r="B28" s="443"/>
      <c r="C28" s="19" t="s">
        <v>112</v>
      </c>
      <c r="D28" s="439">
        <f>D26*2.20462</f>
        <v>42328.703999999998</v>
      </c>
      <c r="E28" s="420"/>
      <c r="F28" s="421"/>
    </row>
    <row r="29" spans="2:8" ht="25.95" customHeight="1" thickBot="1">
      <c r="B29" s="443"/>
      <c r="C29" s="19" t="s">
        <v>113</v>
      </c>
      <c r="D29" s="445">
        <f>D19/D28</f>
        <v>1.54</v>
      </c>
      <c r="E29" s="420"/>
      <c r="F29" s="421"/>
    </row>
    <row r="30" spans="2:8" ht="25.95" customHeight="1" thickBot="1">
      <c r="B30" s="443"/>
      <c r="C30" s="19" t="s">
        <v>106</v>
      </c>
      <c r="D30" s="439">
        <f>D26/1000</f>
        <v>19.2</v>
      </c>
      <c r="E30" s="420"/>
      <c r="F30" s="421"/>
      <c r="H30">
        <f>H26/1000</f>
        <v>19.440000000000001</v>
      </c>
    </row>
    <row r="31" spans="2:8" ht="25.95" customHeight="1" thickBot="1">
      <c r="B31" s="443"/>
      <c r="C31" s="19" t="s">
        <v>108</v>
      </c>
      <c r="D31" s="445">
        <f>D19/D30</f>
        <v>3395.1148000000003</v>
      </c>
      <c r="E31" s="420"/>
      <c r="F31" s="421"/>
    </row>
    <row r="32" spans="2:8" ht="25.95" customHeight="1" thickBot="1">
      <c r="B32" s="443"/>
      <c r="C32" s="19" t="s">
        <v>107</v>
      </c>
      <c r="D32" s="439">
        <f>D26/19200</f>
        <v>1</v>
      </c>
      <c r="E32" s="420"/>
      <c r="F32" s="421"/>
    </row>
    <row r="33" spans="2:6" ht="25.95" customHeight="1" thickBot="1">
      <c r="B33" s="443"/>
      <c r="C33" s="19" t="s">
        <v>109</v>
      </c>
      <c r="D33" s="445">
        <f>D19/D32</f>
        <v>65186.204160000001</v>
      </c>
      <c r="E33" s="420"/>
      <c r="F33" s="421"/>
    </row>
    <row r="34" spans="2:6" ht="25.95" customHeight="1" thickBot="1">
      <c r="B34" s="443"/>
      <c r="C34" s="19" t="s">
        <v>110</v>
      </c>
      <c r="D34" s="452">
        <f>ROUNDUP(D26/19200,0)</f>
        <v>1</v>
      </c>
      <c r="E34" s="453"/>
      <c r="F34" s="454"/>
    </row>
    <row r="35" spans="2:6" ht="25.95" customHeight="1" thickBot="1">
      <c r="B35" s="444"/>
      <c r="C35" s="19" t="s">
        <v>111</v>
      </c>
      <c r="D35" s="445">
        <f>D19/D34</f>
        <v>65186.204160000001</v>
      </c>
      <c r="E35" s="420"/>
      <c r="F35" s="421"/>
    </row>
    <row r="36" spans="2:6" ht="12.6" customHeight="1" thickBot="1">
      <c r="B36" s="139"/>
      <c r="C36" s="17"/>
      <c r="D36" s="137"/>
      <c r="E36" s="138"/>
      <c r="F36" s="138"/>
    </row>
    <row r="37" spans="2:6" ht="25.95" customHeight="1" thickBot="1">
      <c r="B37" s="139"/>
      <c r="C37" s="17" t="s">
        <v>202</v>
      </c>
      <c r="D37" s="445" t="s">
        <v>537</v>
      </c>
      <c r="E37" s="458"/>
      <c r="F37" s="138"/>
    </row>
    <row r="38" spans="2:6" ht="25.95" customHeight="1" thickBot="1">
      <c r="B38" s="139"/>
      <c r="C38" s="17" t="s">
        <v>290</v>
      </c>
      <c r="D38" s="456" t="s">
        <v>559</v>
      </c>
      <c r="E38" s="457"/>
      <c r="F38" s="138"/>
    </row>
    <row r="39" spans="2:6" ht="8.4" customHeight="1" thickBot="1"/>
    <row r="40" spans="2:6" ht="19.2" customHeight="1" thickBot="1">
      <c r="B40" s="17" t="s">
        <v>119</v>
      </c>
      <c r="C40" s="135">
        <v>45261</v>
      </c>
    </row>
    <row r="41" spans="2:6" ht="15" thickBot="1"/>
    <row r="42" spans="2:6" ht="15" thickBot="1">
      <c r="B42" s="17" t="s">
        <v>120</v>
      </c>
      <c r="C42" s="35" t="s">
        <v>12</v>
      </c>
    </row>
    <row r="43" spans="2:6" ht="15" thickBot="1"/>
    <row r="44" spans="2:6" ht="15" thickBot="1">
      <c r="B44" s="17" t="s">
        <v>121</v>
      </c>
      <c r="C44" s="35" t="s">
        <v>141</v>
      </c>
    </row>
    <row r="45" spans="2:6" ht="15" thickBot="1"/>
    <row r="46" spans="2:6">
      <c r="B46" s="17" t="s">
        <v>125</v>
      </c>
      <c r="C46" s="32" t="s">
        <v>132</v>
      </c>
      <c r="D46" s="29"/>
    </row>
    <row r="47" spans="2:6">
      <c r="C47" s="33"/>
      <c r="D47" s="30"/>
    </row>
    <row r="48" spans="2:6">
      <c r="C48" s="33"/>
      <c r="D48" s="30"/>
    </row>
    <row r="49" spans="2:6">
      <c r="C49" s="33"/>
      <c r="D49" s="30"/>
    </row>
    <row r="50" spans="2:6">
      <c r="C50" s="33"/>
      <c r="D50" s="30"/>
    </row>
    <row r="51" spans="2:6">
      <c r="C51" s="33"/>
      <c r="D51" s="30"/>
    </row>
    <row r="52" spans="2:6" ht="15" thickBot="1">
      <c r="C52" s="34"/>
      <c r="D52" s="31"/>
    </row>
    <row r="53" spans="2:6" ht="15" thickBot="1"/>
    <row r="54" spans="2:6" ht="15" thickBot="1">
      <c r="B54" s="17" t="s">
        <v>122</v>
      </c>
      <c r="C54" s="19" t="s">
        <v>123</v>
      </c>
      <c r="D54" s="23">
        <v>22</v>
      </c>
      <c r="E54" s="22" t="s">
        <v>143</v>
      </c>
      <c r="F54" s="253" t="str">
        <f>IF(D57="",CONCATENATE("00",D56),CONCATENATE("00",D56,"-","00",D54+D34))</f>
        <v>0023</v>
      </c>
    </row>
    <row r="55" spans="2:6" ht="2.4" customHeight="1" thickBot="1">
      <c r="C55" s="22" t="s">
        <v>124</v>
      </c>
      <c r="D55">
        <f>IF(ROW(D55)-ROW(D$55)+$D$54&lt;=$D$54+$D$34,ROW(D55)-ROW(D$55)+$D$54,"")</f>
        <v>22</v>
      </c>
    </row>
    <row r="56" spans="2:6" ht="15" thickBot="1">
      <c r="C56" s="26" t="s">
        <v>124</v>
      </c>
      <c r="D56" s="136">
        <f>IF(D54+1&gt;D54+D34,"",D54+1)</f>
        <v>23</v>
      </c>
    </row>
    <row r="57" spans="2:6" ht="15" thickBot="1">
      <c r="C57" s="27" t="s">
        <v>124</v>
      </c>
      <c r="D57" s="132" t="str">
        <f>IF(D56="","",IF(D56+1&gt;$D$54+$D$34,"",D56+1))</f>
        <v/>
      </c>
    </row>
    <row r="58" spans="2:6" ht="15" thickBot="1">
      <c r="C58" s="27" t="s">
        <v>124</v>
      </c>
      <c r="D58" s="132" t="str">
        <f t="shared" ref="D58:D65" si="0">IF(D57="","",IF(D57+1&gt;$D$54+$D$34,"",D57+1))</f>
        <v/>
      </c>
    </row>
    <row r="59" spans="2:6" ht="15" thickBot="1">
      <c r="C59" s="27" t="s">
        <v>124</v>
      </c>
      <c r="D59" s="132" t="str">
        <f t="shared" si="0"/>
        <v/>
      </c>
      <c r="E59" s="47"/>
    </row>
    <row r="60" spans="2:6" ht="15" thickBot="1">
      <c r="C60" s="27" t="s">
        <v>124</v>
      </c>
      <c r="D60" s="132" t="str">
        <f t="shared" si="0"/>
        <v/>
      </c>
      <c r="E60" s="47"/>
    </row>
    <row r="61" spans="2:6" ht="15" thickBot="1">
      <c r="C61" s="27" t="s">
        <v>124</v>
      </c>
      <c r="D61" s="132" t="str">
        <f t="shared" si="0"/>
        <v/>
      </c>
      <c r="E61" s="47"/>
    </row>
    <row r="62" spans="2:6" ht="15" thickBot="1">
      <c r="C62" s="27" t="s">
        <v>124</v>
      </c>
      <c r="D62" s="132" t="str">
        <f t="shared" si="0"/>
        <v/>
      </c>
      <c r="E62" s="47"/>
    </row>
    <row r="63" spans="2:6" ht="15" thickBot="1">
      <c r="C63" s="27" t="s">
        <v>124</v>
      </c>
      <c r="D63" s="132" t="str">
        <f t="shared" si="0"/>
        <v/>
      </c>
      <c r="E63" s="47"/>
    </row>
    <row r="64" spans="2:6" ht="15" thickBot="1">
      <c r="C64" s="27" t="s">
        <v>124</v>
      </c>
      <c r="D64" s="132" t="str">
        <f t="shared" si="0"/>
        <v/>
      </c>
      <c r="E64" s="47"/>
    </row>
    <row r="65" spans="3:5" ht="15" thickBot="1">
      <c r="C65" s="28" t="s">
        <v>124</v>
      </c>
      <c r="D65" s="18" t="str">
        <f t="shared" si="0"/>
        <v/>
      </c>
      <c r="E65" s="47"/>
    </row>
  </sheetData>
  <mergeCells count="26">
    <mergeCell ref="D13:F13"/>
    <mergeCell ref="D38:E38"/>
    <mergeCell ref="D37:E37"/>
    <mergeCell ref="D30:F30"/>
    <mergeCell ref="D20:F20"/>
    <mergeCell ref="D21:F21"/>
    <mergeCell ref="D22:F22"/>
    <mergeCell ref="D23:F23"/>
    <mergeCell ref="D26:F26"/>
    <mergeCell ref="D27:F27"/>
    <mergeCell ref="B13:B35"/>
    <mergeCell ref="D28:F28"/>
    <mergeCell ref="D29:F29"/>
    <mergeCell ref="D14:F14"/>
    <mergeCell ref="D16:F16"/>
    <mergeCell ref="D18:F18"/>
    <mergeCell ref="D19:F19"/>
    <mergeCell ref="D31:F31"/>
    <mergeCell ref="D32:F32"/>
    <mergeCell ref="D33:F33"/>
    <mergeCell ref="D34:F34"/>
    <mergeCell ref="D35:F35"/>
    <mergeCell ref="D24:F24"/>
    <mergeCell ref="D25:F25"/>
    <mergeCell ref="D17:F17"/>
    <mergeCell ref="D15:F15"/>
  </mergeCells>
  <pageMargins left="0.7" right="0.7" top="0.75" bottom="0.75" header="0.3" footer="0.3"/>
  <pageSetup scale="51" fitToWidth="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 r:id="rId4" name="Check Box 4">
              <controlPr defaultSize="0" autoFill="0" autoLine="0" autoPict="0">
                <anchor moveWithCells="1">
                  <from>
                    <xdr:col>3</xdr:col>
                    <xdr:colOff>38100</xdr:colOff>
                    <xdr:row>44</xdr:row>
                    <xdr:rowOff>160020</xdr:rowOff>
                  </from>
                  <to>
                    <xdr:col>3</xdr:col>
                    <xdr:colOff>266700</xdr:colOff>
                    <xdr:row>46</xdr:row>
                    <xdr:rowOff>22860</xdr:rowOff>
                  </to>
                </anchor>
              </controlPr>
            </control>
          </mc:Choice>
        </mc:AlternateContent>
        <mc:AlternateContent xmlns:mc="http://schemas.openxmlformats.org/markup-compatibility/2006">
          <mc:Choice Requires="x14">
            <control shapeId="1030" r:id="rId5" name="Check Box 6">
              <controlPr defaultSize="0" autoFill="0" autoLine="0" autoPict="0">
                <anchor moveWithCells="1">
                  <from>
                    <xdr:col>3</xdr:col>
                    <xdr:colOff>38100</xdr:colOff>
                    <xdr:row>45</xdr:row>
                    <xdr:rowOff>160020</xdr:rowOff>
                  </from>
                  <to>
                    <xdr:col>3</xdr:col>
                    <xdr:colOff>266700</xdr:colOff>
                    <xdr:row>47</xdr:row>
                    <xdr:rowOff>30480</xdr:rowOff>
                  </to>
                </anchor>
              </controlPr>
            </control>
          </mc:Choice>
        </mc:AlternateContent>
        <mc:AlternateContent xmlns:mc="http://schemas.openxmlformats.org/markup-compatibility/2006">
          <mc:Choice Requires="x14">
            <control shapeId="1032" r:id="rId6" name="Check Box 8">
              <controlPr defaultSize="0" autoFill="0" autoLine="0" autoPict="0">
                <anchor moveWithCells="1">
                  <from>
                    <xdr:col>3</xdr:col>
                    <xdr:colOff>38100</xdr:colOff>
                    <xdr:row>46</xdr:row>
                    <xdr:rowOff>160020</xdr:rowOff>
                  </from>
                  <to>
                    <xdr:col>3</xdr:col>
                    <xdr:colOff>266700</xdr:colOff>
                    <xdr:row>48</xdr:row>
                    <xdr:rowOff>30480</xdr:rowOff>
                  </to>
                </anchor>
              </controlPr>
            </control>
          </mc:Choice>
        </mc:AlternateContent>
        <mc:AlternateContent xmlns:mc="http://schemas.openxmlformats.org/markup-compatibility/2006">
          <mc:Choice Requires="x14">
            <control shapeId="1034" r:id="rId7" name="Check Box 10">
              <controlPr defaultSize="0" autoFill="0" autoLine="0" autoPict="0">
                <anchor moveWithCells="1">
                  <from>
                    <xdr:col>3</xdr:col>
                    <xdr:colOff>38100</xdr:colOff>
                    <xdr:row>47</xdr:row>
                    <xdr:rowOff>160020</xdr:rowOff>
                  </from>
                  <to>
                    <xdr:col>3</xdr:col>
                    <xdr:colOff>266700</xdr:colOff>
                    <xdr:row>49</xdr:row>
                    <xdr:rowOff>30480</xdr:rowOff>
                  </to>
                </anchor>
              </controlPr>
            </control>
          </mc:Choice>
        </mc:AlternateContent>
        <mc:AlternateContent xmlns:mc="http://schemas.openxmlformats.org/markup-compatibility/2006">
          <mc:Choice Requires="x14">
            <control shapeId="1036" r:id="rId8" name="Check Box 12">
              <controlPr defaultSize="0" autoFill="0" autoLine="0" autoPict="0">
                <anchor moveWithCells="1">
                  <from>
                    <xdr:col>3</xdr:col>
                    <xdr:colOff>45720</xdr:colOff>
                    <xdr:row>48</xdr:row>
                    <xdr:rowOff>144780</xdr:rowOff>
                  </from>
                  <to>
                    <xdr:col>3</xdr:col>
                    <xdr:colOff>274320</xdr:colOff>
                    <xdr:row>50</xdr:row>
                    <xdr:rowOff>22860</xdr:rowOff>
                  </to>
                </anchor>
              </controlPr>
            </control>
          </mc:Choice>
        </mc:AlternateContent>
        <mc:AlternateContent xmlns:mc="http://schemas.openxmlformats.org/markup-compatibility/2006">
          <mc:Choice Requires="x14">
            <control shapeId="1038" r:id="rId9" name="Check Box 14">
              <controlPr defaultSize="0" autoFill="0" autoLine="0" autoPict="0">
                <anchor moveWithCells="1">
                  <from>
                    <xdr:col>3</xdr:col>
                    <xdr:colOff>38100</xdr:colOff>
                    <xdr:row>49</xdr:row>
                    <xdr:rowOff>152400</xdr:rowOff>
                  </from>
                  <to>
                    <xdr:col>3</xdr:col>
                    <xdr:colOff>266700</xdr:colOff>
                    <xdr:row>51</xdr:row>
                    <xdr:rowOff>22860</xdr:rowOff>
                  </to>
                </anchor>
              </controlPr>
            </control>
          </mc:Choice>
        </mc:AlternateContent>
        <mc:AlternateContent xmlns:mc="http://schemas.openxmlformats.org/markup-compatibility/2006">
          <mc:Choice Requires="x14">
            <control shapeId="1040" r:id="rId10" name="Check Box 16">
              <controlPr defaultSize="0" autoFill="0" autoLine="0" autoPict="0">
                <anchor moveWithCells="1">
                  <from>
                    <xdr:col>3</xdr:col>
                    <xdr:colOff>38100</xdr:colOff>
                    <xdr:row>50</xdr:row>
                    <xdr:rowOff>160020</xdr:rowOff>
                  </from>
                  <to>
                    <xdr:col>3</xdr:col>
                    <xdr:colOff>266700</xdr:colOff>
                    <xdr:row>52</xdr:row>
                    <xdr:rowOff>22860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100-000000000000}">
          <x14:formula1>
            <xm:f>'Form Configuration'!$E$5:$E$12</xm:f>
          </x14:formula1>
          <xm:sqref>D14:F14 D17:F17</xm:sqref>
        </x14:dataValidation>
        <x14:dataValidation type="list" allowBlank="1" showInputMessage="1" showErrorMessage="1" xr:uid="{00000000-0002-0000-0100-000001000000}">
          <x14:formula1>
            <xm:f>'Form Configuration'!$A$16:$A$20</xm:f>
          </x14:formula1>
          <xm:sqref>C42</xm:sqref>
        </x14:dataValidation>
        <x14:dataValidation type="list" allowBlank="1" showInputMessage="1" showErrorMessage="1" xr:uid="{00000000-0002-0000-0100-000002000000}">
          <x14:formula1>
            <xm:f>'Form Configuration'!$A$23:$A$26</xm:f>
          </x14:formula1>
          <xm:sqref>C44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1:J34"/>
  <sheetViews>
    <sheetView topLeftCell="A23" workbookViewId="0">
      <selection activeCell="F29" sqref="F29:F34"/>
    </sheetView>
  </sheetViews>
  <sheetFormatPr defaultRowHeight="14.4"/>
  <cols>
    <col min="2" max="2" width="26.33203125" customWidth="1"/>
    <col min="3" max="3" width="48.5546875" customWidth="1"/>
    <col min="5" max="5" width="17.6640625" customWidth="1"/>
    <col min="6" max="6" width="46.88671875" customWidth="1"/>
  </cols>
  <sheetData>
    <row r="1" spans="2:10" ht="18">
      <c r="B1" s="25" t="s">
        <v>127</v>
      </c>
    </row>
    <row r="4" spans="2:10" ht="15" thickBot="1"/>
    <row r="5" spans="2:10" ht="15" thickBot="1">
      <c r="B5" s="17" t="s">
        <v>133</v>
      </c>
      <c r="C5" s="35"/>
    </row>
    <row r="6" spans="2:10" ht="7.95" customHeight="1" thickBot="1">
      <c r="B6" s="17"/>
    </row>
    <row r="7" spans="2:10" ht="33.6" customHeight="1" thickBot="1">
      <c r="B7" s="17" t="s">
        <v>128</v>
      </c>
      <c r="C7" s="35"/>
      <c r="E7" s="42" t="s">
        <v>289</v>
      </c>
      <c r="F7" s="18"/>
    </row>
    <row r="8" spans="2:10" ht="9" customHeight="1" thickBot="1">
      <c r="B8" s="17"/>
    </row>
    <row r="9" spans="2:10" ht="39" customHeight="1" thickBot="1">
      <c r="B9" s="17" t="s">
        <v>129</v>
      </c>
      <c r="C9" s="35"/>
      <c r="E9" s="42" t="s">
        <v>289</v>
      </c>
      <c r="F9" s="18"/>
      <c r="H9" t="s">
        <v>441</v>
      </c>
      <c r="I9" s="424"/>
      <c r="J9" s="426"/>
    </row>
    <row r="10" spans="2:10" ht="9" customHeight="1" thickBot="1">
      <c r="B10" s="17"/>
    </row>
    <row r="11" spans="2:10" ht="38.4" customHeight="1" thickBot="1">
      <c r="B11" s="17" t="s">
        <v>130</v>
      </c>
      <c r="C11" s="18"/>
      <c r="E11" s="42" t="s">
        <v>289</v>
      </c>
      <c r="F11" s="18"/>
    </row>
    <row r="12" spans="2:10" ht="15" thickBot="1">
      <c r="B12" s="17"/>
    </row>
    <row r="13" spans="2:10" ht="21.6" customHeight="1" thickBot="1">
      <c r="B13" s="17" t="s">
        <v>281</v>
      </c>
      <c r="C13" s="35"/>
    </row>
    <row r="14" spans="2:10" ht="15" thickBot="1"/>
    <row r="15" spans="2:10" ht="25.95" customHeight="1" thickBot="1">
      <c r="B15" s="17" t="s">
        <v>286</v>
      </c>
      <c r="C15" s="18"/>
    </row>
    <row r="16" spans="2:10" ht="46.95" customHeight="1" thickBot="1">
      <c r="B16" s="17" t="s">
        <v>287</v>
      </c>
      <c r="C16" s="134"/>
    </row>
    <row r="17" spans="2:6" ht="28.2" customHeight="1" thickBot="1">
      <c r="B17" s="17" t="s">
        <v>282</v>
      </c>
      <c r="C17" s="18"/>
    </row>
    <row r="18" spans="2:6" ht="25.95" customHeight="1" thickBot="1">
      <c r="B18" s="17" t="s">
        <v>283</v>
      </c>
      <c r="C18" s="149"/>
    </row>
    <row r="19" spans="2:6" ht="42" customHeight="1" thickBot="1">
      <c r="B19" s="17" t="s">
        <v>288</v>
      </c>
      <c r="C19" s="18"/>
    </row>
    <row r="20" spans="2:6" ht="25.95" customHeight="1" thickBot="1"/>
    <row r="21" spans="2:6" ht="25.95" customHeight="1" thickBot="1">
      <c r="B21" s="17" t="s">
        <v>284</v>
      </c>
      <c r="C21" s="151"/>
    </row>
    <row r="22" spans="2:6" ht="143.4" customHeight="1" thickBot="1">
      <c r="B22" s="133" t="s">
        <v>285</v>
      </c>
      <c r="C22" s="134"/>
    </row>
    <row r="23" spans="2:6" ht="105.6" customHeight="1" thickBot="1">
      <c r="B23" s="133" t="s">
        <v>294</v>
      </c>
      <c r="C23" s="134"/>
      <c r="F23" s="396"/>
    </row>
    <row r="24" spans="2:6" ht="16.2" thickBot="1">
      <c r="F24" s="24" t="s">
        <v>457</v>
      </c>
    </row>
    <row r="25" spans="2:6" ht="31.2" customHeight="1" thickBot="1">
      <c r="B25" s="17" t="s">
        <v>131</v>
      </c>
      <c r="C25" s="395"/>
      <c r="E25" s="17" t="s">
        <v>131</v>
      </c>
      <c r="F25" s="150"/>
    </row>
    <row r="26" spans="2:6" ht="7.95" customHeight="1" thickBot="1"/>
    <row r="27" spans="2:6" ht="76.2" customHeight="1" thickBot="1">
      <c r="B27" s="17" t="s">
        <v>293</v>
      </c>
      <c r="C27" s="134"/>
      <c r="E27" s="17" t="s">
        <v>293</v>
      </c>
      <c r="F27" s="134"/>
    </row>
    <row r="28" spans="2:6" ht="10.95" customHeight="1" thickBot="1"/>
    <row r="29" spans="2:6">
      <c r="B29" s="17" t="s">
        <v>456</v>
      </c>
      <c r="C29" s="459"/>
      <c r="E29" s="17" t="s">
        <v>456</v>
      </c>
      <c r="F29" s="459"/>
    </row>
    <row r="30" spans="2:6">
      <c r="C30" s="460"/>
      <c r="F30" s="460"/>
    </row>
    <row r="31" spans="2:6">
      <c r="C31" s="460"/>
      <c r="F31" s="460"/>
    </row>
    <row r="32" spans="2:6">
      <c r="C32" s="460"/>
      <c r="F32" s="460"/>
    </row>
    <row r="33" spans="3:6">
      <c r="C33" s="460"/>
      <c r="F33" s="460"/>
    </row>
    <row r="34" spans="3:6" ht="15" thickBot="1">
      <c r="C34" s="461"/>
      <c r="F34" s="461"/>
    </row>
  </sheetData>
  <mergeCells count="3">
    <mergeCell ref="I9:J9"/>
    <mergeCell ref="C29:C34"/>
    <mergeCell ref="F29:F34"/>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I27"/>
  <sheetViews>
    <sheetView workbookViewId="0">
      <selection activeCell="H15" sqref="H15"/>
    </sheetView>
  </sheetViews>
  <sheetFormatPr defaultRowHeight="14.4"/>
  <cols>
    <col min="2" max="2" width="30.5546875" customWidth="1"/>
    <col min="3" max="3" width="25.88671875" customWidth="1"/>
    <col min="4" max="4" width="37" customWidth="1"/>
    <col min="7" max="7" width="16" customWidth="1"/>
    <col min="8" max="8" width="43.44140625" customWidth="1"/>
  </cols>
  <sheetData>
    <row r="1" spans="2:8" ht="24" customHeight="1">
      <c r="B1" s="25" t="s">
        <v>134</v>
      </c>
    </row>
    <row r="2" spans="2:8" ht="18">
      <c r="G2" s="25" t="s">
        <v>144</v>
      </c>
    </row>
    <row r="3" spans="2:8" ht="15" thickBot="1"/>
    <row r="4" spans="2:8" ht="15" thickBot="1">
      <c r="B4" s="42" t="s">
        <v>139</v>
      </c>
      <c r="C4" s="18"/>
    </row>
    <row r="5" spans="2:8" ht="15" thickBot="1">
      <c r="G5" s="17" t="s">
        <v>145</v>
      </c>
      <c r="H5" s="18"/>
    </row>
    <row r="6" spans="2:8" ht="15" thickBot="1">
      <c r="B6" s="468" t="s">
        <v>135</v>
      </c>
      <c r="C6" s="468"/>
      <c r="D6" s="468"/>
      <c r="G6" s="42"/>
    </row>
    <row r="7" spans="2:8" ht="29.4" customHeight="1" thickBot="1">
      <c r="B7" s="466" t="s">
        <v>136</v>
      </c>
      <c r="C7" s="35" t="s">
        <v>137</v>
      </c>
      <c r="D7" s="18"/>
      <c r="G7" s="17" t="s">
        <v>274</v>
      </c>
      <c r="H7" s="18"/>
    </row>
    <row r="8" spans="2:8" ht="28.95" customHeight="1" thickBot="1">
      <c r="B8" s="467"/>
      <c r="C8" s="36" t="s">
        <v>138</v>
      </c>
      <c r="D8" s="6"/>
      <c r="G8" s="42"/>
    </row>
    <row r="9" spans="2:8" ht="15" thickBot="1">
      <c r="G9" s="17" t="s">
        <v>275</v>
      </c>
      <c r="H9" s="18"/>
    </row>
    <row r="10" spans="2:8" ht="33" customHeight="1" thickBot="1">
      <c r="B10" s="42" t="s">
        <v>308</v>
      </c>
      <c r="C10" s="424"/>
      <c r="D10" s="426"/>
      <c r="G10" s="42"/>
    </row>
    <row r="11" spans="2:8" ht="15" thickBot="1">
      <c r="G11" s="17" t="s">
        <v>276</v>
      </c>
      <c r="H11" s="190"/>
    </row>
    <row r="12" spans="2:8" ht="15" thickBot="1">
      <c r="B12" s="42" t="s">
        <v>309</v>
      </c>
      <c r="C12" s="18"/>
      <c r="G12" s="42"/>
    </row>
    <row r="13" spans="2:8" ht="15" thickBot="1">
      <c r="G13" s="17" t="s">
        <v>277</v>
      </c>
      <c r="H13" s="18"/>
    </row>
    <row r="14" spans="2:8" ht="15" thickBot="1">
      <c r="B14" s="42" t="s">
        <v>310</v>
      </c>
      <c r="C14" s="163"/>
      <c r="G14" s="17" t="s">
        <v>275</v>
      </c>
      <c r="H14" s="132"/>
    </row>
    <row r="15" spans="2:8" ht="15" thickBot="1">
      <c r="G15" s="17" t="s">
        <v>487</v>
      </c>
      <c r="H15" s="18"/>
    </row>
    <row r="16" spans="2:8" ht="15" thickBot="1">
      <c r="B16" s="42" t="s">
        <v>311</v>
      </c>
      <c r="C16" s="18"/>
      <c r="G16" s="17" t="s">
        <v>531</v>
      </c>
      <c r="H16" s="1"/>
    </row>
    <row r="17" spans="2:9" ht="15" thickBot="1"/>
    <row r="18" spans="2:9" ht="118.2" customHeight="1" thickBot="1">
      <c r="B18" s="162" t="s">
        <v>312</v>
      </c>
      <c r="C18" s="465"/>
      <c r="D18" s="429"/>
    </row>
    <row r="19" spans="2:9" ht="18" customHeight="1" thickBot="1">
      <c r="B19" s="162"/>
      <c r="C19" s="177"/>
      <c r="D19" s="177"/>
    </row>
    <row r="20" spans="2:9" ht="18" customHeight="1" thickBot="1">
      <c r="B20" s="162" t="s">
        <v>358</v>
      </c>
      <c r="C20" s="149"/>
      <c r="D20" s="177"/>
    </row>
    <row r="21" spans="2:9" ht="16.2" thickBot="1">
      <c r="H21" s="24" t="s">
        <v>455</v>
      </c>
    </row>
    <row r="22" spans="2:9" ht="14.4" customHeight="1">
      <c r="B22" s="42" t="s">
        <v>359</v>
      </c>
      <c r="C22" s="427"/>
      <c r="D22" s="462"/>
      <c r="G22" s="42" t="s">
        <v>359</v>
      </c>
      <c r="H22" s="427"/>
      <c r="I22" s="462"/>
    </row>
    <row r="23" spans="2:9" ht="52.8" customHeight="1" thickBot="1">
      <c r="C23" s="463"/>
      <c r="D23" s="464"/>
      <c r="H23" s="463"/>
      <c r="I23" s="464"/>
    </row>
    <row r="24" spans="2:9" ht="15" thickBot="1">
      <c r="C24" s="177"/>
      <c r="D24" s="177"/>
      <c r="H24" s="177"/>
      <c r="I24" s="177"/>
    </row>
    <row r="25" spans="2:9" ht="63.6" customHeight="1" thickBot="1">
      <c r="B25" s="42" t="s">
        <v>360</v>
      </c>
      <c r="C25" s="465"/>
      <c r="D25" s="429"/>
      <c r="G25" s="42" t="s">
        <v>360</v>
      </c>
      <c r="H25" s="465"/>
      <c r="I25" s="429"/>
    </row>
    <row r="26" spans="2:9" ht="73.2" customHeight="1" thickBot="1">
      <c r="B26" s="42" t="s">
        <v>438</v>
      </c>
      <c r="C26" s="424"/>
      <c r="D26" s="426"/>
      <c r="G26" s="42" t="s">
        <v>438</v>
      </c>
      <c r="H26" s="424"/>
      <c r="I26" s="426"/>
    </row>
    <row r="27" spans="2:9" ht="22.8" customHeight="1" thickBot="1">
      <c r="B27" s="42" t="s">
        <v>357</v>
      </c>
      <c r="C27" s="1"/>
    </row>
  </sheetData>
  <mergeCells count="10">
    <mergeCell ref="B7:B8"/>
    <mergeCell ref="B6:D6"/>
    <mergeCell ref="C10:D10"/>
    <mergeCell ref="C18:D18"/>
    <mergeCell ref="C22:D23"/>
    <mergeCell ref="H22:I23"/>
    <mergeCell ref="H25:I25"/>
    <mergeCell ref="H26:I26"/>
    <mergeCell ref="C26:D26"/>
    <mergeCell ref="C25:D25"/>
  </mergeCell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fitToPage="1"/>
  </sheetPr>
  <dimension ref="E4:K37"/>
  <sheetViews>
    <sheetView tabSelected="1" zoomScale="59" zoomScaleNormal="80" workbookViewId="0">
      <pane ySplit="6" topLeftCell="A7" activePane="bottomLeft" state="frozen"/>
      <selection pane="bottomLeft" activeCell="H29" sqref="H29"/>
    </sheetView>
  </sheetViews>
  <sheetFormatPr defaultRowHeight="14.4"/>
  <cols>
    <col min="4" max="4" width="19.33203125" customWidth="1"/>
    <col min="5" max="5" width="39.33203125" customWidth="1"/>
    <col min="6" max="6" width="33.33203125" customWidth="1"/>
    <col min="7" max="8" width="43.88671875" customWidth="1"/>
    <col min="9" max="10" width="41.88671875" customWidth="1"/>
    <col min="11" max="11" width="45.6640625" customWidth="1"/>
  </cols>
  <sheetData>
    <row r="4" spans="5:11" ht="23.4" customHeight="1"/>
    <row r="5" spans="5:11" ht="15" thickBot="1"/>
    <row r="6" spans="5:11" ht="33.6" customHeight="1" thickBot="1">
      <c r="E6" s="18"/>
      <c r="F6" s="187" t="s">
        <v>0</v>
      </c>
      <c r="G6" s="187" t="s">
        <v>4</v>
      </c>
      <c r="H6" s="187" t="s">
        <v>453</v>
      </c>
      <c r="I6" s="187" t="s">
        <v>2</v>
      </c>
      <c r="J6" s="187" t="s">
        <v>454</v>
      </c>
      <c r="K6" s="187" t="s">
        <v>3</v>
      </c>
    </row>
    <row r="7" spans="5:11" ht="120" customHeight="1">
      <c r="E7" s="175" t="s">
        <v>354</v>
      </c>
      <c r="F7" s="40">
        <f>Contract!D13</f>
        <v>0</v>
      </c>
      <c r="G7" s="40">
        <f>'Shipping Instruction'!C16</f>
        <v>0</v>
      </c>
      <c r="H7" s="40"/>
      <c r="I7" s="41"/>
      <c r="J7" s="41"/>
      <c r="K7" s="186">
        <f>IF(IF(J7&lt;&gt;"",J7,IF(I7&lt;&gt;"",I7,IF(H7&lt;&gt;"",H7,IF(G7&lt;&gt;"",G7,F7))))="","-",IF(J7&lt;&gt;"",J7,IF(I7&lt;&gt;"",I7,IF(H7&lt;&gt;"",H7,IF(G7&lt;&gt;"",G7,F7)))))</f>
        <v>0</v>
      </c>
    </row>
    <row r="8" spans="5:11" ht="37.200000000000003" customHeight="1">
      <c r="E8" s="178" t="s">
        <v>355</v>
      </c>
      <c r="F8" s="38">
        <f>Contract!C9</f>
        <v>0</v>
      </c>
      <c r="G8" s="38"/>
      <c r="H8" s="38"/>
      <c r="I8" s="38"/>
      <c r="J8" s="38"/>
      <c r="K8" s="186">
        <f t="shared" ref="K8:K32" si="0">IF(IF(J8&lt;&gt;"",J8,IF(I8&lt;&gt;"",I8,IF(H8&lt;&gt;"",H8,IF(G8&lt;&gt;"",G8,F8))))="","-",IF(J8&lt;&gt;"",J8,IF(I8&lt;&gt;"",I8,IF(H8&lt;&gt;"",H8,IF(G8&lt;&gt;"",G8,F8)))))</f>
        <v>0</v>
      </c>
    </row>
    <row r="9" spans="5:11" ht="71.400000000000006" customHeight="1">
      <c r="E9" s="178" t="s">
        <v>356</v>
      </c>
      <c r="F9" s="38">
        <f>Contract!C11</f>
        <v>0</v>
      </c>
      <c r="G9" s="38"/>
      <c r="H9" s="38"/>
      <c r="I9" s="38"/>
      <c r="J9" s="38"/>
      <c r="K9" s="186">
        <f t="shared" si="0"/>
        <v>0</v>
      </c>
    </row>
    <row r="10" spans="5:11" ht="54" customHeight="1">
      <c r="E10" s="178" t="s">
        <v>117</v>
      </c>
      <c r="F10" s="38" t="str">
        <f>Contract!D17</f>
        <v>Bag of 60Kg</v>
      </c>
      <c r="G10" s="38"/>
      <c r="H10" s="38"/>
      <c r="I10" s="38"/>
      <c r="J10" s="38"/>
      <c r="K10" s="186" t="str">
        <f t="shared" si="0"/>
        <v>Bag of 60Kg</v>
      </c>
    </row>
    <row r="11" spans="5:11" ht="57" customHeight="1">
      <c r="E11" s="178" t="s">
        <v>77</v>
      </c>
      <c r="F11" s="38">
        <f>Contract!D18</f>
        <v>320</v>
      </c>
      <c r="G11" s="38">
        <f>'Shipping Instruction'!C15</f>
        <v>0</v>
      </c>
      <c r="H11" s="38"/>
      <c r="I11" s="38"/>
      <c r="J11" s="38"/>
      <c r="K11" s="186">
        <f t="shared" si="0"/>
        <v>0</v>
      </c>
    </row>
    <row r="12" spans="5:11" ht="61.95" customHeight="1">
      <c r="E12" s="178" t="s">
        <v>116</v>
      </c>
      <c r="F12" s="179">
        <f>Contract!D19</f>
        <v>65186.204160000001</v>
      </c>
      <c r="G12" s="38"/>
      <c r="H12" s="38"/>
      <c r="I12" s="180" t="str">
        <f>IF('Bank &amp; LC'!C27="","",'Bank &amp; LC'!C27)</f>
        <v/>
      </c>
      <c r="J12" s="180"/>
      <c r="K12" s="397">
        <f t="shared" si="0"/>
        <v>65186.204160000001</v>
      </c>
    </row>
    <row r="13" spans="5:11" ht="28.2" customHeight="1">
      <c r="E13" s="178" t="s">
        <v>202</v>
      </c>
      <c r="F13" s="179" t="str">
        <f>Contract!D37</f>
        <v>UNWASHED DJIMMAH</v>
      </c>
      <c r="G13" s="38"/>
      <c r="H13" s="38"/>
      <c r="I13" s="38"/>
      <c r="J13" s="38"/>
      <c r="K13" s="186" t="str">
        <f t="shared" si="0"/>
        <v>UNWASHED DJIMMAH</v>
      </c>
    </row>
    <row r="14" spans="5:11" ht="44.4" customHeight="1">
      <c r="E14" s="178" t="s">
        <v>290</v>
      </c>
      <c r="F14" s="179" t="str">
        <f>Contract!D38</f>
        <v>FIVE(5)</v>
      </c>
      <c r="G14" s="38"/>
      <c r="H14" s="38"/>
      <c r="I14" s="38"/>
      <c r="J14" s="38"/>
      <c r="K14" s="186" t="str">
        <f t="shared" si="0"/>
        <v>FIVE(5)</v>
      </c>
    </row>
    <row r="15" spans="5:11" ht="61.2" customHeight="1">
      <c r="E15" s="178" t="s">
        <v>119</v>
      </c>
      <c r="F15" s="176">
        <f>Contract!C40</f>
        <v>45261</v>
      </c>
      <c r="G15" s="176">
        <f>'Shipping Instruction'!C21</f>
        <v>0</v>
      </c>
      <c r="H15" s="176"/>
      <c r="I15" s="38"/>
      <c r="J15" s="38"/>
      <c r="K15" s="186">
        <f t="shared" si="0"/>
        <v>0</v>
      </c>
    </row>
    <row r="16" spans="5:11" ht="42.6" customHeight="1">
      <c r="E16" s="178" t="s">
        <v>120</v>
      </c>
      <c r="F16" s="176" t="str">
        <f>Contract!C42</f>
        <v>CAD</v>
      </c>
      <c r="G16" s="38"/>
      <c r="H16" s="38"/>
      <c r="I16" s="38"/>
      <c r="J16" s="38"/>
      <c r="K16" s="186" t="str">
        <f t="shared" si="0"/>
        <v>CAD</v>
      </c>
    </row>
    <row r="17" spans="5:11" ht="44.4" customHeight="1">
      <c r="E17" s="178" t="s">
        <v>121</v>
      </c>
      <c r="F17" s="176" t="str">
        <f>Contract!C44</f>
        <v xml:space="preserve">F.O.B </v>
      </c>
      <c r="G17" s="38"/>
      <c r="H17" s="38"/>
      <c r="I17" s="38"/>
      <c r="J17" s="38"/>
      <c r="K17" s="186" t="str">
        <f t="shared" si="0"/>
        <v xml:space="preserve">F.O.B </v>
      </c>
    </row>
    <row r="18" spans="5:11" ht="23.4">
      <c r="E18" s="178" t="s">
        <v>122</v>
      </c>
      <c r="F18" s="181" t="str">
        <f>Contract!F54</f>
        <v>0023</v>
      </c>
      <c r="G18" s="4"/>
      <c r="H18" s="4"/>
      <c r="I18" s="4"/>
      <c r="J18" s="4"/>
      <c r="K18" s="186" t="str">
        <f t="shared" si="0"/>
        <v>0023</v>
      </c>
    </row>
    <row r="19" spans="5:11" ht="23.4">
      <c r="E19" s="182"/>
      <c r="F19" s="183"/>
      <c r="G19" s="183"/>
      <c r="H19" s="183"/>
      <c r="I19" s="183"/>
      <c r="J19" s="183"/>
      <c r="K19" s="186" t="str">
        <f t="shared" si="0"/>
        <v>-</v>
      </c>
    </row>
    <row r="20" spans="5:11" ht="46.2" customHeight="1">
      <c r="E20" s="184" t="s">
        <v>133</v>
      </c>
      <c r="F20" s="4"/>
      <c r="G20" s="4">
        <f>'Shipping Instruction'!C5</f>
        <v>0</v>
      </c>
      <c r="H20" s="4"/>
      <c r="I20" s="4" t="str">
        <f>IF('Bank &amp; LC'!C14="","",'Bank &amp; LC'!C14)</f>
        <v/>
      </c>
      <c r="J20" s="4"/>
      <c r="K20" s="186">
        <f t="shared" si="0"/>
        <v>0</v>
      </c>
    </row>
    <row r="21" spans="5:11" ht="44.4" customHeight="1">
      <c r="E21" s="178" t="s">
        <v>128</v>
      </c>
      <c r="F21" s="4"/>
      <c r="G21" s="4">
        <f>'Shipping Instruction'!C7</f>
        <v>0</v>
      </c>
      <c r="H21" s="4"/>
      <c r="I21" s="4"/>
      <c r="J21" s="4"/>
      <c r="K21" s="186">
        <f t="shared" si="0"/>
        <v>0</v>
      </c>
    </row>
    <row r="22" spans="5:11" ht="33" customHeight="1">
      <c r="E22" s="178" t="s">
        <v>129</v>
      </c>
      <c r="F22" s="4"/>
      <c r="G22" s="4">
        <f>'Shipping Instruction'!C9</f>
        <v>0</v>
      </c>
      <c r="H22" s="4"/>
      <c r="I22" s="4"/>
      <c r="J22" s="4"/>
      <c r="K22" s="186">
        <f t="shared" si="0"/>
        <v>0</v>
      </c>
    </row>
    <row r="23" spans="5:11" ht="34.799999999999997" customHeight="1">
      <c r="E23" s="178" t="s">
        <v>130</v>
      </c>
      <c r="F23" s="4"/>
      <c r="G23" s="4">
        <f>'Shipping Instruction'!C11</f>
        <v>0</v>
      </c>
      <c r="H23" s="4"/>
      <c r="I23" s="4"/>
      <c r="J23" s="4"/>
      <c r="K23" s="186">
        <f t="shared" si="0"/>
        <v>0</v>
      </c>
    </row>
    <row r="24" spans="5:11" ht="35.4" customHeight="1">
      <c r="E24" s="178" t="s">
        <v>281</v>
      </c>
      <c r="F24" s="4"/>
      <c r="G24" s="4">
        <f>'Shipping Instruction'!C13</f>
        <v>0</v>
      </c>
      <c r="H24" s="4"/>
      <c r="I24" s="4" t="str">
        <f>IF('Bank &amp; LC'!C12="","",'Bank &amp; LC'!C12)</f>
        <v/>
      </c>
      <c r="J24" s="4"/>
      <c r="K24" s="186">
        <f t="shared" si="0"/>
        <v>0</v>
      </c>
    </row>
    <row r="25" spans="5:11" ht="34.200000000000003" customHeight="1">
      <c r="E25" s="178" t="s">
        <v>283</v>
      </c>
      <c r="F25" s="4"/>
      <c r="G25" s="4">
        <f>'Shipping Instruction'!C18</f>
        <v>0</v>
      </c>
      <c r="H25" s="4"/>
      <c r="I25" s="4" t="str">
        <f>IF('Bank &amp; LC'!C20="","",'Bank &amp; LC'!C20)</f>
        <v/>
      </c>
      <c r="J25" s="4"/>
      <c r="K25" s="186">
        <f t="shared" si="0"/>
        <v>0</v>
      </c>
    </row>
    <row r="26" spans="5:11" ht="23.4">
      <c r="E26" s="182"/>
      <c r="F26" s="183"/>
      <c r="G26" s="183"/>
      <c r="H26" s="183"/>
      <c r="I26" s="183"/>
      <c r="J26" s="183"/>
      <c r="K26" s="186" t="str">
        <f t="shared" si="0"/>
        <v>-</v>
      </c>
    </row>
    <row r="27" spans="5:11" ht="195.6" customHeight="1">
      <c r="E27" s="178" t="s">
        <v>285</v>
      </c>
      <c r="F27" s="4"/>
      <c r="G27" s="38">
        <f>'Shipping Instruction'!C22</f>
        <v>0</v>
      </c>
      <c r="H27" s="38"/>
      <c r="I27" s="4"/>
      <c r="J27" s="4"/>
      <c r="K27" s="186">
        <f t="shared" si="0"/>
        <v>0</v>
      </c>
    </row>
    <row r="28" spans="5:11" ht="118.8" customHeight="1">
      <c r="E28" s="178" t="s">
        <v>294</v>
      </c>
      <c r="F28" s="4"/>
      <c r="G28" s="38">
        <f>'Shipping Instruction'!C23</f>
        <v>0</v>
      </c>
      <c r="H28" s="38"/>
      <c r="I28" s="38" t="str">
        <f>IF('Bank &amp; LC'!C18="","",'Bank &amp; LC'!C18)</f>
        <v/>
      </c>
      <c r="J28" s="38"/>
      <c r="K28" s="186">
        <f t="shared" si="0"/>
        <v>0</v>
      </c>
    </row>
    <row r="29" spans="5:11" ht="104.4" customHeight="1">
      <c r="E29" s="178" t="s">
        <v>131</v>
      </c>
      <c r="F29" s="4"/>
      <c r="G29" s="38" t="str">
        <f>IF('Shipping Instruction'!C25="","",'Shipping Instruction'!C25)</f>
        <v/>
      </c>
      <c r="H29" s="38" t="str">
        <f>IF('Shipping Instruction'!F25="","",'Shipping Instruction'!F25)</f>
        <v/>
      </c>
      <c r="I29" s="38" t="str">
        <f>IF('Bank &amp; LC'!C22="","",'Bank &amp; LC'!C22)</f>
        <v/>
      </c>
      <c r="J29" s="38" t="str">
        <f>IF('Bank &amp; LC'!H22="","",'Bank &amp; LC'!H22)</f>
        <v/>
      </c>
      <c r="K29" s="186" t="str">
        <f t="shared" si="0"/>
        <v>-</v>
      </c>
    </row>
    <row r="30" spans="5:11" ht="134.4" customHeight="1">
      <c r="E30" s="178" t="s">
        <v>293</v>
      </c>
      <c r="F30" s="4"/>
      <c r="G30" s="38" t="str">
        <f>IF('Shipping Instruction'!C27="","",'Shipping Instruction'!C27)</f>
        <v/>
      </c>
      <c r="H30" s="38" t="str">
        <f>IF('Shipping Instruction'!F27="","",'Shipping Instruction'!F27)</f>
        <v/>
      </c>
      <c r="I30" s="38" t="str">
        <f>IF('Bank &amp; LC'!C25="","",'Bank &amp; LC'!C25)</f>
        <v/>
      </c>
      <c r="J30" s="38" t="str">
        <f>IF('Bank &amp; LC'!H25="","",'Bank &amp; LC'!H25)</f>
        <v/>
      </c>
      <c r="K30" s="186" t="str">
        <f t="shared" si="0"/>
        <v>-</v>
      </c>
    </row>
    <row r="31" spans="5:11" ht="84.6" customHeight="1" thickBot="1">
      <c r="E31" s="185" t="s">
        <v>308</v>
      </c>
      <c r="F31" s="5"/>
      <c r="G31" s="38"/>
      <c r="H31" s="38"/>
      <c r="I31" s="39" t="str">
        <f>IF('Bank &amp; LC'!C25="","",'Bank &amp; LC'!C25)</f>
        <v/>
      </c>
      <c r="J31" s="39" t="str">
        <f>IF('Bank &amp; LC'!H25="","",'Bank &amp; LC'!H25)</f>
        <v/>
      </c>
      <c r="K31" s="186" t="str">
        <f t="shared" si="0"/>
        <v>-</v>
      </c>
    </row>
    <row r="32" spans="5:11" ht="84.6" customHeight="1" thickBot="1">
      <c r="E32" s="313" t="s">
        <v>438</v>
      </c>
      <c r="F32" s="18"/>
      <c r="G32" s="38" t="str">
        <f>IF('Shipping Instruction'!C29="","",'Shipping Instruction'!C29)</f>
        <v/>
      </c>
      <c r="H32" s="38" t="str">
        <f>IF('Shipping Instruction'!F29="","",'Shipping Instruction'!F29)</f>
        <v/>
      </c>
      <c r="I32" s="134" t="str">
        <f>IF('Bank &amp; LC'!C26="","",'Bank &amp; LC'!C26)</f>
        <v/>
      </c>
      <c r="J32" s="326" t="str">
        <f>IF('Bank &amp; LC'!H26="","",'Bank &amp; LC'!H26)</f>
        <v/>
      </c>
      <c r="K32" s="186" t="str">
        <f t="shared" si="0"/>
        <v>-</v>
      </c>
    </row>
    <row r="34" spans="5:8" ht="15" thickBot="1"/>
    <row r="35" spans="5:8" ht="48" customHeight="1" thickBot="1">
      <c r="E35" s="185" t="s">
        <v>361</v>
      </c>
      <c r="F35" s="469"/>
      <c r="G35" s="470"/>
      <c r="H35" s="138"/>
    </row>
    <row r="36" spans="5:8" ht="51.6" customHeight="1" thickBot="1"/>
    <row r="37" spans="5:8" ht="25.8" customHeight="1" thickBot="1">
      <c r="E37" s="291" t="s">
        <v>428</v>
      </c>
      <c r="F37" s="401"/>
    </row>
  </sheetData>
  <mergeCells count="1">
    <mergeCell ref="F35:G35"/>
  </mergeCells>
  <pageMargins left="0" right="0" top="0" bottom="0" header="0" footer="0"/>
  <pageSetup scale="39" fitToWidth="0"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3:J43"/>
  <sheetViews>
    <sheetView topLeftCell="A10" workbookViewId="0">
      <selection activeCell="D9" sqref="D9"/>
    </sheetView>
  </sheetViews>
  <sheetFormatPr defaultRowHeight="14.4"/>
  <cols>
    <col min="1" max="1" width="13.44140625" customWidth="1"/>
    <col min="2" max="2" width="16.6640625" customWidth="1"/>
    <col min="3" max="3" width="15.88671875" customWidth="1"/>
    <col min="4" max="4" width="19.44140625" customWidth="1"/>
    <col min="5" max="6" width="25" style="219" customWidth="1"/>
    <col min="7" max="7" width="15.88671875" style="219" customWidth="1"/>
    <col min="8" max="9" width="16" style="219" customWidth="1"/>
    <col min="10" max="10" width="16.5546875" style="219" customWidth="1"/>
    <col min="11" max="11" width="14.109375" customWidth="1"/>
    <col min="13" max="13" width="12" bestFit="1" customWidth="1"/>
  </cols>
  <sheetData>
    <row r="3" spans="1:10" ht="15" thickBot="1"/>
    <row r="4" spans="1:10" ht="15" thickBot="1">
      <c r="B4" s="17" t="s">
        <v>153</v>
      </c>
      <c r="C4" s="18"/>
    </row>
    <row r="5" spans="1:10" ht="15" thickBot="1">
      <c r="B5" s="17" t="s">
        <v>128</v>
      </c>
      <c r="C5" s="18"/>
    </row>
    <row r="6" spans="1:10" ht="15" thickBot="1">
      <c r="B6" s="17" t="s">
        <v>147</v>
      </c>
      <c r="C6" s="18"/>
    </row>
    <row r="7" spans="1:10" ht="15" thickBot="1">
      <c r="B7" s="17" t="s">
        <v>148</v>
      </c>
      <c r="C7" s="18"/>
    </row>
    <row r="8" spans="1:10" ht="15" thickBot="1"/>
    <row r="9" spans="1:10" ht="15" thickBot="1">
      <c r="B9" s="17" t="s">
        <v>279</v>
      </c>
      <c r="C9" s="18"/>
    </row>
    <row r="15" spans="1:10" ht="15" thickBot="1">
      <c r="G15" s="388" t="s">
        <v>533</v>
      </c>
    </row>
    <row r="16" spans="1:10" ht="30.6" customHeight="1" thickBot="1">
      <c r="A16" s="158" t="s">
        <v>280</v>
      </c>
      <c r="B16" s="158" t="s">
        <v>315</v>
      </c>
      <c r="C16" s="158" t="s">
        <v>257</v>
      </c>
      <c r="D16" s="158" t="s">
        <v>253</v>
      </c>
      <c r="E16" s="220" t="s">
        <v>254</v>
      </c>
      <c r="F16" s="222" t="s">
        <v>538</v>
      </c>
      <c r="G16" s="222" t="s">
        <v>255</v>
      </c>
      <c r="H16" s="220" t="s">
        <v>150</v>
      </c>
      <c r="I16" s="158" t="s">
        <v>151</v>
      </c>
      <c r="J16" s="381" t="s">
        <v>169</v>
      </c>
    </row>
    <row r="17" spans="1:10" ht="15" thickBot="1">
      <c r="A17" s="471">
        <v>1</v>
      </c>
      <c r="B17" s="18" t="s">
        <v>258</v>
      </c>
      <c r="C17" s="152"/>
      <c r="D17" s="152" t="s">
        <v>545</v>
      </c>
      <c r="E17" s="218" t="s">
        <v>546</v>
      </c>
      <c r="F17" s="392" t="s">
        <v>547</v>
      </c>
      <c r="G17" s="318" t="s">
        <v>548</v>
      </c>
      <c r="H17" s="378" t="s">
        <v>549</v>
      </c>
      <c r="I17" s="214" t="s">
        <v>550</v>
      </c>
      <c r="J17" s="399">
        <v>2220</v>
      </c>
    </row>
    <row r="18" spans="1:10" ht="15" thickBot="1">
      <c r="A18" s="472"/>
      <c r="B18" s="1" t="s">
        <v>256</v>
      </c>
      <c r="C18" s="398" t="s">
        <v>553</v>
      </c>
      <c r="D18" s="1" t="str">
        <f>IF(D17="","",D17)</f>
        <v>ABEBE DEJENE</v>
      </c>
      <c r="E18" s="224"/>
      <c r="F18" s="393"/>
      <c r="G18" s="223" t="str">
        <f>G17</f>
        <v>05-R008141</v>
      </c>
      <c r="H18" s="379"/>
      <c r="I18" s="215"/>
      <c r="J18" s="384"/>
    </row>
    <row r="19" spans="1:10" ht="15" thickBot="1">
      <c r="A19" s="473">
        <v>2</v>
      </c>
      <c r="B19" s="1" t="s">
        <v>258</v>
      </c>
      <c r="C19" s="152"/>
      <c r="D19" s="152"/>
      <c r="E19" s="218"/>
      <c r="F19" s="392"/>
      <c r="G19" s="318"/>
      <c r="H19" s="378"/>
      <c r="I19" s="215"/>
      <c r="J19" s="383"/>
    </row>
    <row r="20" spans="1:10" ht="15" thickBot="1">
      <c r="A20" s="472"/>
      <c r="B20" s="1" t="s">
        <v>256</v>
      </c>
      <c r="C20" s="398"/>
      <c r="D20" s="1" t="str">
        <f>IF(D19="","",D19)</f>
        <v/>
      </c>
      <c r="E20" s="217"/>
      <c r="F20" s="223"/>
      <c r="G20" s="223">
        <f>G19</f>
        <v>0</v>
      </c>
      <c r="H20" s="379"/>
      <c r="I20" s="215"/>
      <c r="J20" s="385"/>
    </row>
    <row r="21" spans="1:10" ht="15" thickBot="1">
      <c r="A21" s="471">
        <v>3</v>
      </c>
      <c r="B21" s="18" t="s">
        <v>258</v>
      </c>
      <c r="C21" s="152"/>
      <c r="D21" s="152"/>
      <c r="E21" s="218"/>
      <c r="F21" s="392"/>
      <c r="G21" s="318"/>
      <c r="H21" s="378"/>
      <c r="I21" s="3"/>
      <c r="J21" s="387"/>
    </row>
    <row r="22" spans="1:10" ht="15" thickBot="1">
      <c r="A22" s="472"/>
      <c r="B22" s="1" t="s">
        <v>256</v>
      </c>
      <c r="C22" s="398"/>
      <c r="D22" s="1" t="str">
        <f>IF(D21="","",D21)</f>
        <v/>
      </c>
      <c r="E22" s="217"/>
      <c r="F22" s="223"/>
      <c r="G22" s="223">
        <f>G21</f>
        <v>0</v>
      </c>
      <c r="H22" s="379"/>
      <c r="I22" s="1"/>
      <c r="J22" s="382"/>
    </row>
    <row r="23" spans="1:10" ht="15" thickBot="1">
      <c r="A23" s="471">
        <v>4</v>
      </c>
      <c r="B23" s="18" t="s">
        <v>258</v>
      </c>
      <c r="C23" s="152"/>
      <c r="D23" s="152"/>
      <c r="E23" s="218"/>
      <c r="F23" s="392"/>
      <c r="G23" s="318"/>
      <c r="H23" s="378"/>
      <c r="I23" s="3"/>
      <c r="J23" s="387"/>
    </row>
    <row r="24" spans="1:10" ht="15" thickBot="1">
      <c r="A24" s="472"/>
      <c r="B24" s="1" t="s">
        <v>256</v>
      </c>
      <c r="C24" s="398"/>
      <c r="D24" s="1" t="str">
        <f>IF(D23="","",D23)</f>
        <v/>
      </c>
      <c r="E24" s="217"/>
      <c r="F24" s="223"/>
      <c r="G24" s="223">
        <f>G23</f>
        <v>0</v>
      </c>
      <c r="H24" s="379"/>
      <c r="I24" s="1"/>
      <c r="J24" s="382"/>
    </row>
    <row r="25" spans="1:10" ht="15" thickBot="1">
      <c r="A25" s="471">
        <v>5</v>
      </c>
      <c r="B25" s="18" t="s">
        <v>258</v>
      </c>
      <c r="C25" s="153"/>
      <c r="D25" s="153"/>
      <c r="E25" s="221"/>
      <c r="F25" s="394"/>
      <c r="G25" s="319"/>
      <c r="H25" s="380"/>
      <c r="I25" s="3"/>
      <c r="J25" s="386"/>
    </row>
    <row r="26" spans="1:10" ht="15" thickBot="1">
      <c r="A26" s="472"/>
      <c r="B26" s="1" t="s">
        <v>256</v>
      </c>
      <c r="C26" s="398"/>
      <c r="D26" s="1" t="str">
        <f>IF(D25="","",D25)</f>
        <v/>
      </c>
      <c r="E26" s="217"/>
      <c r="F26" s="223"/>
      <c r="G26" s="223">
        <f>G25</f>
        <v>0</v>
      </c>
      <c r="H26" s="379"/>
      <c r="I26" s="1"/>
      <c r="J26" s="382"/>
    </row>
    <row r="42" spans="1:3" ht="15" thickBot="1"/>
    <row r="43" spans="1:3" ht="15" thickBot="1">
      <c r="A43" s="17" t="s">
        <v>149</v>
      </c>
      <c r="B43" s="424"/>
      <c r="C43" s="426"/>
    </row>
  </sheetData>
  <mergeCells count="6">
    <mergeCell ref="B43:C43"/>
    <mergeCell ref="A17:A18"/>
    <mergeCell ref="A19:A20"/>
    <mergeCell ref="A21:A22"/>
    <mergeCell ref="A23:A24"/>
    <mergeCell ref="A25:A26"/>
  </mergeCell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C66AA396-3FB2-4A85-9A4E-17B212372D1E}">
          <x14:formula1>
            <xm:f>'Shipping Instruction'!$C$7:$C$11</xm:f>
          </x14:formula1>
          <xm:sqref>C5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AJ33"/>
  <sheetViews>
    <sheetView view="pageBreakPreview" zoomScale="60" zoomScaleNormal="80" workbookViewId="0">
      <selection activeCell="C23" sqref="C23"/>
    </sheetView>
  </sheetViews>
  <sheetFormatPr defaultRowHeight="14.4"/>
  <cols>
    <col min="1" max="1" width="18.77734375" customWidth="1"/>
    <col min="2" max="3" width="22.6640625" customWidth="1"/>
    <col min="4" max="4" width="20.109375" customWidth="1"/>
    <col min="5" max="5" width="21.109375" customWidth="1"/>
    <col min="6" max="6" width="17.109375" customWidth="1"/>
    <col min="7" max="7" width="18" customWidth="1"/>
    <col min="8" max="9" width="16.88671875" customWidth="1"/>
    <col min="10" max="11" width="17.109375" customWidth="1"/>
    <col min="12" max="12" width="19.6640625" customWidth="1"/>
    <col min="13" max="13" width="15.88671875" customWidth="1"/>
    <col min="14" max="14" width="15.33203125" customWidth="1"/>
    <col min="15" max="15" width="14.33203125" customWidth="1"/>
    <col min="16" max="16" width="13.88671875" customWidth="1"/>
    <col min="21" max="21" width="13.6640625" customWidth="1"/>
  </cols>
  <sheetData>
    <row r="1" spans="1:36" ht="18.600000000000001" customHeight="1">
      <c r="B1" s="43" t="s">
        <v>146</v>
      </c>
      <c r="X1" t="s">
        <v>258</v>
      </c>
    </row>
    <row r="2" spans="1:36" ht="16.95" customHeight="1">
      <c r="B2" s="25"/>
      <c r="W2" t="s">
        <v>256</v>
      </c>
    </row>
    <row r="3" spans="1:36" ht="21">
      <c r="A3" s="389" t="s">
        <v>534</v>
      </c>
    </row>
    <row r="4" spans="1:36" ht="22.2" customHeight="1" thickBot="1"/>
    <row r="5" spans="1:36" ht="45" customHeight="1" thickBot="1">
      <c r="A5" s="159" t="s">
        <v>280</v>
      </c>
      <c r="B5" s="160" t="s">
        <v>315</v>
      </c>
      <c r="C5" s="159" t="s">
        <v>257</v>
      </c>
      <c r="D5" s="159" t="s">
        <v>253</v>
      </c>
      <c r="E5" s="159" t="s">
        <v>254</v>
      </c>
      <c r="F5" s="161" t="s">
        <v>255</v>
      </c>
      <c r="G5" s="159" t="s">
        <v>150</v>
      </c>
      <c r="H5" s="159" t="s">
        <v>151</v>
      </c>
      <c r="I5" s="161" t="s">
        <v>313</v>
      </c>
      <c r="J5" s="161" t="s">
        <v>152</v>
      </c>
      <c r="K5" s="161" t="s">
        <v>314</v>
      </c>
      <c r="L5" s="159" t="s">
        <v>169</v>
      </c>
      <c r="M5" s="159" t="s">
        <v>305</v>
      </c>
      <c r="N5" s="159" t="s">
        <v>306</v>
      </c>
      <c r="O5" s="159" t="s">
        <v>307</v>
      </c>
      <c r="P5" s="161" t="s">
        <v>278</v>
      </c>
      <c r="AI5" s="230" t="s">
        <v>388</v>
      </c>
      <c r="AJ5" s="231"/>
    </row>
    <row r="6" spans="1:36" ht="21.75" customHeight="1" thickBot="1">
      <c r="A6" s="474">
        <v>1</v>
      </c>
      <c r="B6" s="3" t="s">
        <v>258</v>
      </c>
      <c r="C6" s="3" t="str">
        <f>IF(Bookings!C17="","",Bookings!C17)</f>
        <v/>
      </c>
      <c r="D6" s="3" t="str">
        <f>IF(Bookings!D17="","",Bookings!D17)</f>
        <v>ABEBE DEJENE</v>
      </c>
      <c r="E6" s="3" t="str">
        <f>IF(Bookings!E17="","",Bookings!E17)</f>
        <v>0911138271</v>
      </c>
      <c r="F6" s="3" t="str">
        <f>IF(Bookings!G17="","",Bookings!G17)</f>
        <v>05-R008141</v>
      </c>
      <c r="G6" s="3" t="str">
        <f>IF(Bookings!H17="","",Bookings!H17)</f>
        <v>MSDU121638/1</v>
      </c>
      <c r="H6" s="3" t="s">
        <v>550</v>
      </c>
      <c r="I6" s="154"/>
      <c r="J6" s="320">
        <v>23</v>
      </c>
      <c r="K6" s="154"/>
      <c r="L6" s="3">
        <f>IF(Bookings!J17="","",Bookings!J17)</f>
        <v>2220</v>
      </c>
      <c r="M6" s="3"/>
      <c r="N6" s="3"/>
      <c r="O6" s="3"/>
      <c r="P6" s="154"/>
      <c r="AI6" s="47" t="str">
        <f>D22</f>
        <v>ABEBE DEJENE</v>
      </c>
      <c r="AJ6" s="232"/>
    </row>
    <row r="7" spans="1:36" ht="21.75" customHeight="1" thickBot="1">
      <c r="A7" s="475"/>
      <c r="B7" s="5" t="s">
        <v>256</v>
      </c>
      <c r="C7" s="3" t="str">
        <f>IF(Bookings!C18="","",Bookings!C18)</f>
        <v>3 ET-03098</v>
      </c>
      <c r="D7" s="3" t="str">
        <f>IF(Bookings!D18="","",Bookings!D18)</f>
        <v>ABEBE DEJENE</v>
      </c>
      <c r="E7" s="3" t="str">
        <f>IF(Bookings!E18="","",Bookings!E18)</f>
        <v/>
      </c>
      <c r="F7" s="3" t="str">
        <f>IF(Bookings!G18="","",Bookings!G18)</f>
        <v>05-R008141</v>
      </c>
      <c r="G7" s="3" t="str">
        <f>IF(Bookings!H18="","",Bookings!H18)</f>
        <v/>
      </c>
      <c r="H7" s="5"/>
      <c r="I7" s="155"/>
      <c r="J7" s="320"/>
      <c r="K7" s="155"/>
      <c r="L7" s="3" t="str">
        <f>IF(Bookings!J18="","",Bookings!J18)</f>
        <v/>
      </c>
      <c r="M7" s="5"/>
      <c r="N7" s="5"/>
      <c r="O7" s="5"/>
      <c r="P7" s="155"/>
      <c r="AI7" s="47" t="str">
        <f>D24</f>
        <v/>
      </c>
      <c r="AJ7" s="232"/>
    </row>
    <row r="8" spans="1:36" ht="21.75" customHeight="1" thickBot="1">
      <c r="A8" s="474">
        <v>2</v>
      </c>
      <c r="B8" s="3" t="s">
        <v>258</v>
      </c>
      <c r="C8" s="3" t="str">
        <f>IF(Bookings!C19="","",Bookings!C19)</f>
        <v/>
      </c>
      <c r="D8" s="3" t="str">
        <f>IF(Bookings!D19="","",Bookings!D19)</f>
        <v/>
      </c>
      <c r="E8" s="3" t="str">
        <f>IF(Bookings!E19="","",Bookings!E19)</f>
        <v/>
      </c>
      <c r="F8" s="3" t="str">
        <f>IF(Bookings!G19="","",Bookings!G19)</f>
        <v/>
      </c>
      <c r="G8" s="3" t="str">
        <f>IF(Bookings!H19="","",Bookings!H19)</f>
        <v/>
      </c>
      <c r="H8" s="3"/>
      <c r="I8" s="154"/>
      <c r="J8" s="320"/>
      <c r="K8" s="154"/>
      <c r="L8" s="3" t="str">
        <f>IF(Bookings!J19="","",Bookings!J19)</f>
        <v/>
      </c>
      <c r="M8" s="3"/>
      <c r="N8" s="3"/>
      <c r="O8" s="3"/>
      <c r="P8" s="154"/>
      <c r="AI8" s="47" t="str">
        <f>D26</f>
        <v/>
      </c>
      <c r="AJ8" s="232"/>
    </row>
    <row r="9" spans="1:36" ht="21.75" customHeight="1" thickBot="1">
      <c r="A9" s="475"/>
      <c r="B9" s="5" t="s">
        <v>256</v>
      </c>
      <c r="C9" s="3" t="str">
        <f>IF(Bookings!C20="","",Bookings!C20)</f>
        <v/>
      </c>
      <c r="D9" s="3" t="str">
        <f>IF(Bookings!D20="","",Bookings!D20)</f>
        <v/>
      </c>
      <c r="E9" s="3" t="str">
        <f>IF(Bookings!E20="","",Bookings!E20)</f>
        <v/>
      </c>
      <c r="F9" s="3">
        <f>IF(Bookings!G20="","",Bookings!G20)</f>
        <v>0</v>
      </c>
      <c r="G9" s="3" t="str">
        <f>IF(Bookings!H20="","",Bookings!H20)</f>
        <v/>
      </c>
      <c r="H9" s="5"/>
      <c r="I9" s="155"/>
      <c r="J9" s="320"/>
      <c r="K9" s="155"/>
      <c r="L9" s="3" t="str">
        <f>IF(Bookings!J20="","",Bookings!J20)</f>
        <v/>
      </c>
      <c r="M9" s="5"/>
      <c r="N9" s="5"/>
      <c r="O9" s="5"/>
      <c r="P9" s="155"/>
      <c r="AI9" s="47" t="str">
        <f>D28</f>
        <v/>
      </c>
      <c r="AJ9" s="232"/>
    </row>
    <row r="10" spans="1:36" ht="21.75" customHeight="1" thickBot="1">
      <c r="A10" s="474">
        <v>3</v>
      </c>
      <c r="B10" s="3" t="s">
        <v>258</v>
      </c>
      <c r="C10" s="3" t="str">
        <f>IF(Bookings!C21="","",Bookings!C21)</f>
        <v/>
      </c>
      <c r="D10" s="3" t="str">
        <f>IF(Bookings!D21="","",Bookings!D21)</f>
        <v/>
      </c>
      <c r="E10" s="3" t="str">
        <f>IF(Bookings!E21="","",Bookings!E21)</f>
        <v/>
      </c>
      <c r="F10" s="3" t="str">
        <f>IF(Bookings!G21="","",Bookings!G21)</f>
        <v/>
      </c>
      <c r="G10" s="3" t="str">
        <f>IF(Bookings!H21="","",Bookings!H21)</f>
        <v/>
      </c>
      <c r="H10" s="3"/>
      <c r="I10" s="154"/>
      <c r="J10" s="320"/>
      <c r="K10" s="154"/>
      <c r="L10" s="3" t="str">
        <f>IF(Bookings!J21="","",Bookings!J21)</f>
        <v/>
      </c>
      <c r="M10" s="3"/>
      <c r="N10" s="3"/>
      <c r="O10" s="3"/>
      <c r="P10" s="154"/>
      <c r="AI10" s="233" t="str">
        <f>D30</f>
        <v/>
      </c>
      <c r="AJ10" s="6"/>
    </row>
    <row r="11" spans="1:36" ht="21.75" customHeight="1" thickBot="1">
      <c r="A11" s="475"/>
      <c r="B11" s="5" t="s">
        <v>256</v>
      </c>
      <c r="C11" s="3" t="str">
        <f>IF(Bookings!C22="","",Bookings!C22)</f>
        <v/>
      </c>
      <c r="D11" s="3" t="str">
        <f>IF(Bookings!D22="","",Bookings!D22)</f>
        <v/>
      </c>
      <c r="E11" s="3" t="str">
        <f>IF(Bookings!E22="","",Bookings!E22)</f>
        <v/>
      </c>
      <c r="F11" s="3">
        <f>IF(Bookings!G22="","",Bookings!G22)</f>
        <v>0</v>
      </c>
      <c r="G11" s="3" t="str">
        <f>IF(Bookings!H22="","",Bookings!H22)</f>
        <v/>
      </c>
      <c r="H11" s="5"/>
      <c r="I11" s="155"/>
      <c r="J11" s="320"/>
      <c r="K11" s="155"/>
      <c r="L11" s="3" t="str">
        <f>IF(Bookings!J22="","",Bookings!J22)</f>
        <v/>
      </c>
      <c r="M11" s="5"/>
      <c r="N11" s="5"/>
      <c r="O11" s="5"/>
      <c r="P11" s="155"/>
    </row>
    <row r="12" spans="1:36" ht="21.75" customHeight="1" thickBot="1">
      <c r="A12" s="474">
        <v>4</v>
      </c>
      <c r="B12" s="3" t="s">
        <v>258</v>
      </c>
      <c r="C12" s="3" t="str">
        <f>IF(Bookings!C23="","",Bookings!C23)</f>
        <v/>
      </c>
      <c r="D12" s="3" t="str">
        <f>IF(Bookings!D23="","",Bookings!D23)</f>
        <v/>
      </c>
      <c r="E12" s="3" t="str">
        <f>IF(Bookings!E23="","",Bookings!E23)</f>
        <v/>
      </c>
      <c r="F12" s="3" t="str">
        <f>IF(Bookings!G23="","",Bookings!G23)</f>
        <v/>
      </c>
      <c r="G12" s="3" t="str">
        <f>IF(Bookings!H23="","",Bookings!H23)</f>
        <v/>
      </c>
      <c r="H12" s="3"/>
      <c r="I12" s="154"/>
      <c r="J12" s="320"/>
      <c r="K12" s="154"/>
      <c r="L12" s="3" t="str">
        <f>IF(Bookings!J23="","",Bookings!J23)</f>
        <v/>
      </c>
      <c r="M12" s="3"/>
      <c r="N12" s="3"/>
      <c r="O12" s="3"/>
      <c r="P12" s="154"/>
    </row>
    <row r="13" spans="1:36" ht="21.75" customHeight="1" thickBot="1">
      <c r="A13" s="475"/>
      <c r="B13" s="5" t="s">
        <v>256</v>
      </c>
      <c r="C13" s="3" t="str">
        <f>IF(Bookings!C24="","",Bookings!C24)</f>
        <v/>
      </c>
      <c r="D13" s="3" t="str">
        <f>IF(Bookings!D24="","",Bookings!D24)</f>
        <v/>
      </c>
      <c r="E13" s="3" t="str">
        <f>IF(Bookings!E24="","",Bookings!E24)</f>
        <v/>
      </c>
      <c r="F13" s="3">
        <f>IF(Bookings!G24="","",Bookings!G24)</f>
        <v>0</v>
      </c>
      <c r="G13" s="3" t="str">
        <f>IF(Bookings!H24="","",Bookings!H24)</f>
        <v/>
      </c>
      <c r="H13" s="5"/>
      <c r="I13" s="155"/>
      <c r="J13" s="320"/>
      <c r="K13" s="155"/>
      <c r="L13" s="3" t="str">
        <f>IF(Bookings!J24="","",Bookings!J24)</f>
        <v/>
      </c>
      <c r="M13" s="5"/>
      <c r="N13" s="5"/>
      <c r="O13" s="5"/>
      <c r="P13" s="155"/>
    </row>
    <row r="14" spans="1:36" ht="21.75" customHeight="1" thickBot="1">
      <c r="A14" s="474">
        <v>5</v>
      </c>
      <c r="B14" s="156" t="s">
        <v>258</v>
      </c>
      <c r="C14" s="3" t="str">
        <f>IF(Bookings!C25="","",Bookings!C25)</f>
        <v/>
      </c>
      <c r="D14" s="3" t="str">
        <f>IF(Bookings!D25="","",Bookings!D25)</f>
        <v/>
      </c>
      <c r="E14" s="3" t="str">
        <f>IF(Bookings!E25="","",Bookings!E25)</f>
        <v/>
      </c>
      <c r="F14" s="3" t="str">
        <f>IF(Bookings!G25="","",Bookings!G25)</f>
        <v/>
      </c>
      <c r="G14" s="3" t="str">
        <f>IF(Bookings!H25="","",Bookings!H25)</f>
        <v/>
      </c>
      <c r="H14" s="156"/>
      <c r="I14" s="157"/>
      <c r="J14" s="320"/>
      <c r="K14" s="157"/>
      <c r="L14" s="3" t="str">
        <f>IF(Bookings!J25="","",Bookings!J25)</f>
        <v/>
      </c>
      <c r="M14" s="156"/>
      <c r="N14" s="156"/>
      <c r="O14" s="156"/>
      <c r="P14" s="157"/>
    </row>
    <row r="15" spans="1:36" ht="21.75" customHeight="1" thickBot="1">
      <c r="A15" s="475"/>
      <c r="B15" s="5" t="s">
        <v>256</v>
      </c>
      <c r="C15" s="18" t="str">
        <f>IF(Bookings!C26="","",Bookings!C26)</f>
        <v/>
      </c>
      <c r="D15" s="18" t="str">
        <f>IF(Bookings!D26="","",Bookings!D26)</f>
        <v/>
      </c>
      <c r="E15" s="18" t="str">
        <f>IF(Bookings!E26="","",Bookings!E26)</f>
        <v/>
      </c>
      <c r="F15" s="18">
        <f>IF(Bookings!G26="","",Bookings!G26)</f>
        <v>0</v>
      </c>
      <c r="G15" s="18" t="str">
        <f>IF(Bookings!H26="","",Bookings!H26)</f>
        <v/>
      </c>
      <c r="H15" s="5"/>
      <c r="I15" s="155"/>
      <c r="J15" s="320"/>
      <c r="K15" s="155"/>
      <c r="L15" s="3" t="str">
        <f>IF(Bookings!J26="","",Bookings!J26)</f>
        <v/>
      </c>
      <c r="M15" s="5"/>
      <c r="N15" s="5"/>
      <c r="O15" s="5"/>
      <c r="P15" s="155"/>
    </row>
    <row r="18" spans="1:14" ht="18" customHeight="1"/>
    <row r="19" spans="1:14" ht="21">
      <c r="A19" s="389" t="s">
        <v>535</v>
      </c>
    </row>
    <row r="20" spans="1:14" ht="15" thickBot="1"/>
    <row r="21" spans="1:14" ht="40.200000000000003" customHeight="1" thickBot="1">
      <c r="A21" s="159" t="s">
        <v>280</v>
      </c>
      <c r="B21" s="160" t="s">
        <v>315</v>
      </c>
      <c r="C21" s="159" t="s">
        <v>257</v>
      </c>
      <c r="D21" s="159" t="s">
        <v>253</v>
      </c>
      <c r="E21" s="159" t="s">
        <v>254</v>
      </c>
      <c r="F21" s="161" t="s">
        <v>255</v>
      </c>
      <c r="G21" s="159" t="s">
        <v>150</v>
      </c>
      <c r="H21" s="159" t="s">
        <v>151</v>
      </c>
      <c r="I21" s="161" t="s">
        <v>152</v>
      </c>
      <c r="J21" s="159" t="s">
        <v>169</v>
      </c>
      <c r="K21" s="159" t="s">
        <v>305</v>
      </c>
      <c r="L21" s="159" t="s">
        <v>306</v>
      </c>
      <c r="M21" s="159" t="s">
        <v>307</v>
      </c>
      <c r="N21" s="161" t="s">
        <v>278</v>
      </c>
    </row>
    <row r="22" spans="1:14" ht="21" customHeight="1" thickBot="1">
      <c r="A22" s="474">
        <v>1</v>
      </c>
      <c r="B22" s="3" t="s">
        <v>258</v>
      </c>
      <c r="C22" s="3" t="str">
        <f>IF(Bookings!C17="","",Bookings!C17)</f>
        <v/>
      </c>
      <c r="D22" s="3" t="str">
        <f>IF(Bookings!D17="","",Bookings!D17)</f>
        <v>ABEBE DEJENE</v>
      </c>
      <c r="E22" s="3" t="str">
        <f>IF(Bookings!E17="","",Bookings!E17)</f>
        <v>0911138271</v>
      </c>
      <c r="F22" s="3" t="str">
        <f>IF(Bookings!G17="","",Bookings!G17)</f>
        <v>05-R008141</v>
      </c>
      <c r="G22" s="3" t="str">
        <f>IF(Bookings!H17="","",Bookings!H17)</f>
        <v>MSDU121638/1</v>
      </c>
      <c r="H22" s="3" t="str">
        <f>IF(I6&lt;&gt;"",I6,IF(H6&lt;&gt;"",H6,"-"))</f>
        <v>EU27646310</v>
      </c>
      <c r="I22" s="320">
        <f>IF(K6&lt;&gt;"",K6,IF(J6&lt;&gt;"",J6,"-"))</f>
        <v>23</v>
      </c>
      <c r="J22" s="3">
        <f>IF(Bookings!J17="","",Bookings!J17)</f>
        <v>2220</v>
      </c>
      <c r="K22" s="3" t="str">
        <f>IF(M6="","",M6)</f>
        <v/>
      </c>
      <c r="L22" s="3" t="str">
        <f t="shared" ref="L22:N22" si="0">IF(N6="","",N6)</f>
        <v/>
      </c>
      <c r="M22" s="3" t="str">
        <f t="shared" si="0"/>
        <v/>
      </c>
      <c r="N22" s="3" t="str">
        <f t="shared" si="0"/>
        <v/>
      </c>
    </row>
    <row r="23" spans="1:14" ht="21" customHeight="1" thickBot="1">
      <c r="A23" s="475"/>
      <c r="B23" s="5" t="s">
        <v>256</v>
      </c>
      <c r="C23" s="5" t="str">
        <f>IF(Bookings!C18="","",Bookings!C18)</f>
        <v>3 ET-03098</v>
      </c>
      <c r="D23" s="5" t="str">
        <f>IF(Bookings!D18="","",Bookings!D18)</f>
        <v>ABEBE DEJENE</v>
      </c>
      <c r="E23" s="5" t="str">
        <f>IF(Bookings!E18="","",Bookings!E18)</f>
        <v/>
      </c>
      <c r="F23" s="5" t="str">
        <f>IF(Bookings!G18="","",Bookings!G18)</f>
        <v>05-R008141</v>
      </c>
      <c r="G23" s="5" t="str">
        <f>IF(Bookings!H18="","",Bookings!H18)</f>
        <v/>
      </c>
      <c r="H23" s="3" t="str">
        <f t="shared" ref="H23:H31" si="1">IF(I7&lt;&gt;"",I7,IF(H7&lt;&gt;"",H7,"-"))</f>
        <v>-</v>
      </c>
      <c r="I23" s="320" t="str">
        <f t="shared" ref="I23:I31" si="2">IF(K7&lt;&gt;"",K7,IF(J7&lt;&gt;"",J7,"-"))</f>
        <v>-</v>
      </c>
      <c r="J23" s="5" t="str">
        <f>IF(Bookings!J18="","",Bookings!J18)</f>
        <v/>
      </c>
      <c r="K23" s="156" t="str">
        <f t="shared" ref="K23:K31" si="3">IF(M7="","",M7)</f>
        <v/>
      </c>
      <c r="L23" s="156" t="str">
        <f t="shared" ref="L23:L31" si="4">IF(N7="","",N7)</f>
        <v/>
      </c>
      <c r="M23" s="156" t="str">
        <f t="shared" ref="M23:M31" si="5">IF(O7="","",O7)</f>
        <v/>
      </c>
      <c r="N23" s="156" t="str">
        <f t="shared" ref="N23:N31" si="6">IF(P7="","",P7)</f>
        <v/>
      </c>
    </row>
    <row r="24" spans="1:14" ht="21" customHeight="1" thickBot="1">
      <c r="A24" s="474">
        <v>2</v>
      </c>
      <c r="B24" s="3" t="s">
        <v>258</v>
      </c>
      <c r="C24" s="3" t="str">
        <f>IF(Bookings!C19="","",Bookings!C19)</f>
        <v/>
      </c>
      <c r="D24" s="3" t="str">
        <f>IF(Bookings!D19="","",Bookings!D19)</f>
        <v/>
      </c>
      <c r="E24" s="3" t="str">
        <f>IF(Bookings!E19="","",Bookings!E19)</f>
        <v/>
      </c>
      <c r="F24" s="3" t="str">
        <f>IF(Bookings!G19="","",Bookings!G19)</f>
        <v/>
      </c>
      <c r="G24" s="3" t="str">
        <f>IF(Bookings!H19="","",Bookings!H19)</f>
        <v/>
      </c>
      <c r="H24" s="3" t="str">
        <f t="shared" si="1"/>
        <v>-</v>
      </c>
      <c r="I24" s="320" t="str">
        <f t="shared" si="2"/>
        <v>-</v>
      </c>
      <c r="J24" s="3" t="str">
        <f>IF(Bookings!J19="","",Bookings!J19)</f>
        <v/>
      </c>
      <c r="K24" s="3" t="str">
        <f t="shared" si="3"/>
        <v/>
      </c>
      <c r="L24" s="3" t="str">
        <f t="shared" si="4"/>
        <v/>
      </c>
      <c r="M24" s="3" t="str">
        <f t="shared" si="5"/>
        <v/>
      </c>
      <c r="N24" s="3" t="str">
        <f t="shared" si="6"/>
        <v/>
      </c>
    </row>
    <row r="25" spans="1:14" ht="21" customHeight="1" thickBot="1">
      <c r="A25" s="475"/>
      <c r="B25" s="5" t="s">
        <v>256</v>
      </c>
      <c r="C25" s="5" t="str">
        <f>IF(Bookings!C20="","",Bookings!C20)</f>
        <v/>
      </c>
      <c r="D25" s="5" t="str">
        <f>IF(Bookings!D20="","",Bookings!D20)</f>
        <v/>
      </c>
      <c r="E25" s="5" t="str">
        <f>IF(Bookings!E20="","",Bookings!E20)</f>
        <v/>
      </c>
      <c r="F25" s="5">
        <f>IF(Bookings!G20="","",Bookings!G20)</f>
        <v>0</v>
      </c>
      <c r="G25" s="5" t="str">
        <f>IF(Bookings!H20="","",Bookings!H20)</f>
        <v/>
      </c>
      <c r="H25" s="3" t="str">
        <f t="shared" si="1"/>
        <v>-</v>
      </c>
      <c r="I25" s="320" t="str">
        <f t="shared" si="2"/>
        <v>-</v>
      </c>
      <c r="J25" s="5" t="str">
        <f>IF(Bookings!J20="","",Bookings!J20)</f>
        <v/>
      </c>
      <c r="K25" s="156" t="str">
        <f t="shared" si="3"/>
        <v/>
      </c>
      <c r="L25" s="156" t="str">
        <f t="shared" si="4"/>
        <v/>
      </c>
      <c r="M25" s="156" t="str">
        <f t="shared" si="5"/>
        <v/>
      </c>
      <c r="N25" s="156" t="str">
        <f t="shared" si="6"/>
        <v/>
      </c>
    </row>
    <row r="26" spans="1:14" ht="21" customHeight="1" thickBot="1">
      <c r="A26" s="474">
        <v>3</v>
      </c>
      <c r="B26" s="3" t="s">
        <v>258</v>
      </c>
      <c r="C26" s="3" t="str">
        <f>IF(Bookings!C21="","",Bookings!C21)</f>
        <v/>
      </c>
      <c r="D26" s="3" t="str">
        <f>IF(Bookings!D21="","",Bookings!D21)</f>
        <v/>
      </c>
      <c r="E26" s="3" t="str">
        <f>IF(Bookings!E21="","",Bookings!E21)</f>
        <v/>
      </c>
      <c r="F26" s="3" t="str">
        <f>IF(Bookings!G21="","",Bookings!G21)</f>
        <v/>
      </c>
      <c r="G26" s="3" t="str">
        <f>IF(Bookings!H21="","",Bookings!H21)</f>
        <v/>
      </c>
      <c r="H26" s="3" t="str">
        <f t="shared" si="1"/>
        <v>-</v>
      </c>
      <c r="I26" s="320" t="str">
        <f t="shared" si="2"/>
        <v>-</v>
      </c>
      <c r="J26" s="3" t="str">
        <f>IF(Bookings!J21="","",Bookings!J21)</f>
        <v/>
      </c>
      <c r="K26" s="3" t="str">
        <f t="shared" si="3"/>
        <v/>
      </c>
      <c r="L26" s="3" t="str">
        <f t="shared" si="4"/>
        <v/>
      </c>
      <c r="M26" s="3" t="str">
        <f t="shared" si="5"/>
        <v/>
      </c>
      <c r="N26" s="3" t="str">
        <f t="shared" si="6"/>
        <v/>
      </c>
    </row>
    <row r="27" spans="1:14" ht="21" customHeight="1" thickBot="1">
      <c r="A27" s="475"/>
      <c r="B27" s="5" t="s">
        <v>256</v>
      </c>
      <c r="C27" s="5" t="str">
        <f>IF(Bookings!C22="","",Bookings!C22)</f>
        <v/>
      </c>
      <c r="D27" s="5" t="str">
        <f>IF(Bookings!D22="","",Bookings!D22)</f>
        <v/>
      </c>
      <c r="E27" s="5" t="str">
        <f>IF(Bookings!E22="","",Bookings!E22)</f>
        <v/>
      </c>
      <c r="F27" s="5">
        <f>IF(Bookings!G22="","",Bookings!G22)</f>
        <v>0</v>
      </c>
      <c r="G27" s="5" t="str">
        <f>IF(Bookings!H22="","",Bookings!H22)</f>
        <v/>
      </c>
      <c r="H27" s="3" t="str">
        <f t="shared" si="1"/>
        <v>-</v>
      </c>
      <c r="I27" s="320" t="str">
        <f t="shared" si="2"/>
        <v>-</v>
      </c>
      <c r="J27" s="5" t="str">
        <f>IF(Bookings!J22="","",Bookings!J22)</f>
        <v/>
      </c>
      <c r="K27" s="156" t="str">
        <f t="shared" si="3"/>
        <v/>
      </c>
      <c r="L27" s="156" t="str">
        <f t="shared" si="4"/>
        <v/>
      </c>
      <c r="M27" s="156" t="str">
        <f t="shared" si="5"/>
        <v/>
      </c>
      <c r="N27" s="156" t="str">
        <f t="shared" si="6"/>
        <v/>
      </c>
    </row>
    <row r="28" spans="1:14" ht="21" customHeight="1" thickBot="1">
      <c r="A28" s="474">
        <v>4</v>
      </c>
      <c r="B28" s="3" t="s">
        <v>258</v>
      </c>
      <c r="C28" s="3" t="str">
        <f>IF(Bookings!C23="","",Bookings!C23)</f>
        <v/>
      </c>
      <c r="D28" s="3" t="str">
        <f>IF(Bookings!D23="","",Bookings!D23)</f>
        <v/>
      </c>
      <c r="E28" s="3" t="str">
        <f>IF(Bookings!E23="","",Bookings!E23)</f>
        <v/>
      </c>
      <c r="F28" s="3" t="str">
        <f>IF(Bookings!G23="","",Bookings!G23)</f>
        <v/>
      </c>
      <c r="G28" s="3" t="str">
        <f>IF(Bookings!H23="","",Bookings!H23)</f>
        <v/>
      </c>
      <c r="H28" s="3" t="str">
        <f t="shared" si="1"/>
        <v>-</v>
      </c>
      <c r="I28" s="320" t="str">
        <f t="shared" si="2"/>
        <v>-</v>
      </c>
      <c r="J28" s="3" t="str">
        <f>IF(Bookings!J23="","",Bookings!J23)</f>
        <v/>
      </c>
      <c r="K28" s="3" t="str">
        <f t="shared" si="3"/>
        <v/>
      </c>
      <c r="L28" s="3" t="str">
        <f t="shared" si="4"/>
        <v/>
      </c>
      <c r="M28" s="3" t="str">
        <f t="shared" si="5"/>
        <v/>
      </c>
      <c r="N28" s="3" t="str">
        <f t="shared" si="6"/>
        <v/>
      </c>
    </row>
    <row r="29" spans="1:14" ht="21" customHeight="1" thickBot="1">
      <c r="A29" s="475"/>
      <c r="B29" s="5" t="s">
        <v>256</v>
      </c>
      <c r="C29" s="5" t="str">
        <f>IF(Bookings!C24="","",Bookings!C24)</f>
        <v/>
      </c>
      <c r="D29" s="5" t="str">
        <f>IF(Bookings!D24="","",Bookings!D24)</f>
        <v/>
      </c>
      <c r="E29" s="5" t="str">
        <f>IF(Bookings!E24="","",Bookings!E24)</f>
        <v/>
      </c>
      <c r="F29" s="5">
        <f>IF(Bookings!G24="","",Bookings!G24)</f>
        <v>0</v>
      </c>
      <c r="G29" s="5" t="str">
        <f>IF(Bookings!H24="","",Bookings!H24)</f>
        <v/>
      </c>
      <c r="H29" s="3" t="str">
        <f t="shared" si="1"/>
        <v>-</v>
      </c>
      <c r="I29" s="320" t="str">
        <f t="shared" si="2"/>
        <v>-</v>
      </c>
      <c r="J29" s="5" t="str">
        <f>IF(Bookings!J24="","",Bookings!J24)</f>
        <v/>
      </c>
      <c r="K29" s="156" t="str">
        <f t="shared" si="3"/>
        <v/>
      </c>
      <c r="L29" s="156" t="str">
        <f t="shared" si="4"/>
        <v/>
      </c>
      <c r="M29" s="156" t="str">
        <f t="shared" si="5"/>
        <v/>
      </c>
      <c r="N29" s="156" t="str">
        <f t="shared" si="6"/>
        <v/>
      </c>
    </row>
    <row r="30" spans="1:14" ht="21" customHeight="1" thickBot="1">
      <c r="A30" s="474">
        <v>5</v>
      </c>
      <c r="B30" s="156" t="s">
        <v>258</v>
      </c>
      <c r="C30" s="156" t="str">
        <f>IF(Bookings!C25="","",Bookings!C25)</f>
        <v/>
      </c>
      <c r="D30" s="156" t="str">
        <f>IF(Bookings!D25="","",Bookings!D25)</f>
        <v/>
      </c>
      <c r="E30" s="156" t="str">
        <f>IF(Bookings!E25="","",Bookings!E25)</f>
        <v/>
      </c>
      <c r="F30" s="156" t="str">
        <f>IF(Bookings!G25="","",Bookings!G25)</f>
        <v/>
      </c>
      <c r="G30" s="156" t="str">
        <f>IF(Bookings!H25="","",Bookings!H25)</f>
        <v/>
      </c>
      <c r="H30" s="3" t="str">
        <f t="shared" si="1"/>
        <v>-</v>
      </c>
      <c r="I30" s="320" t="str">
        <f t="shared" si="2"/>
        <v>-</v>
      </c>
      <c r="J30" s="156" t="str">
        <f>IF(Bookings!J25="","",Bookings!J25)</f>
        <v/>
      </c>
      <c r="K30" s="3" t="str">
        <f t="shared" si="3"/>
        <v/>
      </c>
      <c r="L30" s="3" t="str">
        <f t="shared" si="4"/>
        <v/>
      </c>
      <c r="M30" s="3" t="str">
        <f t="shared" si="5"/>
        <v/>
      </c>
      <c r="N30" s="3" t="str">
        <f t="shared" si="6"/>
        <v/>
      </c>
    </row>
    <row r="31" spans="1:14" ht="21" customHeight="1" thickBot="1">
      <c r="A31" s="475"/>
      <c r="B31" s="5" t="s">
        <v>256</v>
      </c>
      <c r="C31" s="5" t="str">
        <f>IF(Bookings!C26="","",Bookings!C26)</f>
        <v/>
      </c>
      <c r="D31" s="5" t="str">
        <f>IF(Bookings!D26="","",Bookings!D26)</f>
        <v/>
      </c>
      <c r="E31" s="5" t="str">
        <f>IF(Bookings!E26="","",Bookings!E26)</f>
        <v/>
      </c>
      <c r="F31" s="5">
        <f>IF(Bookings!G26="","",Bookings!G26)</f>
        <v>0</v>
      </c>
      <c r="G31" s="5" t="str">
        <f>IF(Bookings!H26="","",Bookings!H26)</f>
        <v/>
      </c>
      <c r="H31" s="18" t="str">
        <f t="shared" si="1"/>
        <v>-</v>
      </c>
      <c r="I31" s="320" t="str">
        <f t="shared" si="2"/>
        <v>-</v>
      </c>
      <c r="J31" s="5" t="str">
        <f>IF(Bookings!J26="","",Bookings!J26)</f>
        <v/>
      </c>
      <c r="K31" s="5" t="str">
        <f t="shared" si="3"/>
        <v/>
      </c>
      <c r="L31" s="5" t="str">
        <f t="shared" si="4"/>
        <v/>
      </c>
      <c r="M31" s="5" t="str">
        <f t="shared" si="5"/>
        <v/>
      </c>
      <c r="N31" s="5" t="str">
        <f t="shared" si="6"/>
        <v/>
      </c>
    </row>
    <row r="33" ht="8.4" customHeight="1"/>
  </sheetData>
  <mergeCells count="10">
    <mergeCell ref="A6:A7"/>
    <mergeCell ref="A8:A9"/>
    <mergeCell ref="A10:A11"/>
    <mergeCell ref="A12:A13"/>
    <mergeCell ref="A14:A15"/>
    <mergeCell ref="A22:A23"/>
    <mergeCell ref="A24:A25"/>
    <mergeCell ref="A26:A27"/>
    <mergeCell ref="A28:A29"/>
    <mergeCell ref="A30:A31"/>
  </mergeCells>
  <dataValidations count="1">
    <dataValidation type="list" allowBlank="1" showInputMessage="1" showErrorMessage="1" sqref="H22" xr:uid="{0FB013E0-043F-481E-BE43-8DD283DA6F95}">
      <formula1>$I$17:$I$26</formula1>
    </dataValidation>
  </dataValidations>
  <pageMargins left="0" right="0" top="0" bottom="0" header="0" footer="0"/>
  <pageSetup paperSize="9" scale="50" fitToHeight="0" orientation="landscape" r:id="rId1"/>
  <rowBreaks count="1" manualBreakCount="1">
    <brk id="17" max="16" man="1"/>
  </rowBreaks>
  <colBreaks count="1" manualBreakCount="1">
    <brk id="17" max="1048575" man="1"/>
  </colBreaks>
  <extLst>
    <ext xmlns:x14="http://schemas.microsoft.com/office/spreadsheetml/2009/9/main" uri="{CCE6A557-97BC-4b89-ADB6-D9C93CAAB3DF}">
      <x14:dataValidations xmlns:xm="http://schemas.microsoft.com/office/excel/2006/main" count="2">
        <x14:dataValidation type="list" allowBlank="1" showInputMessage="1" showErrorMessage="1" xr:uid="{36575E5B-778A-4E30-8401-51B56FDC5060}">
          <x14:formula1>
            <xm:f>Contract!$D$56:$D$65</xm:f>
          </x14:formula1>
          <xm:sqref>J6:K15</xm:sqref>
        </x14:dataValidation>
        <x14:dataValidation type="list" allowBlank="1" showInputMessage="1" showErrorMessage="1" xr:uid="{DA526A03-C531-4DF9-8397-C79934C349A1}">
          <x14:formula1>
            <xm:f>Bookings!$I$17:$I$26</xm:f>
          </x14:formula1>
          <xm:sqref>H6:I15</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B1:L13"/>
  <sheetViews>
    <sheetView topLeftCell="B1" workbookViewId="0">
      <selection activeCell="K13" sqref="K13"/>
    </sheetView>
  </sheetViews>
  <sheetFormatPr defaultRowHeight="14.4"/>
  <cols>
    <col min="2" max="2" width="20.33203125" customWidth="1"/>
    <col min="3" max="3" width="1.109375" customWidth="1"/>
  </cols>
  <sheetData>
    <row r="1" spans="2:12" ht="18">
      <c r="B1" s="43" t="s">
        <v>319</v>
      </c>
    </row>
    <row r="3" spans="2:12" ht="15" thickBot="1"/>
    <row r="4" spans="2:12" ht="15" thickBot="1">
      <c r="B4" s="17" t="s">
        <v>316</v>
      </c>
      <c r="D4" s="476">
        <v>0.11</v>
      </c>
      <c r="E4" s="477"/>
      <c r="F4" s="478"/>
    </row>
    <row r="5" spans="2:12" ht="15" thickBot="1">
      <c r="B5" s="17"/>
    </row>
    <row r="6" spans="2:12">
      <c r="B6" s="17" t="s">
        <v>317</v>
      </c>
      <c r="D6" s="479" t="s">
        <v>551</v>
      </c>
      <c r="E6" s="480"/>
      <c r="F6" s="480"/>
      <c r="G6" s="481"/>
      <c r="I6" s="485" t="s">
        <v>452</v>
      </c>
      <c r="J6" s="486"/>
      <c r="K6" s="486"/>
      <c r="L6" s="487"/>
    </row>
    <row r="7" spans="2:12" ht="15" thickBot="1">
      <c r="B7" s="17"/>
      <c r="D7" s="482"/>
      <c r="E7" s="483"/>
      <c r="F7" s="483"/>
      <c r="G7" s="484"/>
      <c r="I7" s="488"/>
      <c r="J7" s="489"/>
      <c r="K7" s="489"/>
      <c r="L7" s="490"/>
    </row>
    <row r="8" spans="2:12" ht="15" thickBot="1"/>
    <row r="9" spans="2:12">
      <c r="B9" s="17" t="s">
        <v>318</v>
      </c>
      <c r="D9" s="479" t="s">
        <v>552</v>
      </c>
      <c r="E9" s="480"/>
      <c r="F9" s="480"/>
      <c r="G9" s="481"/>
    </row>
    <row r="10" spans="2:12" ht="15" thickBot="1">
      <c r="D10" s="482"/>
      <c r="E10" s="483"/>
      <c r="F10" s="483"/>
      <c r="G10" s="484"/>
    </row>
    <row r="13" spans="2:12">
      <c r="B13" s="390" t="s">
        <v>536</v>
      </c>
    </row>
  </sheetData>
  <mergeCells count="4">
    <mergeCell ref="D4:F4"/>
    <mergeCell ref="D6:G7"/>
    <mergeCell ref="D9:G10"/>
    <mergeCell ref="I6:L7"/>
  </mergeCells>
  <pageMargins left="0.7" right="0.7" top="0.75" bottom="0.75" header="0.3" footer="0.3"/>
  <pageSetup paperSize="9" orientation="portrait"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B2:I29"/>
  <sheetViews>
    <sheetView view="pageBreakPreview" zoomScale="93" zoomScaleNormal="84" zoomScaleSheetLayoutView="79" workbookViewId="0">
      <selection activeCell="C13" sqref="C13"/>
    </sheetView>
  </sheetViews>
  <sheetFormatPr defaultRowHeight="14.4"/>
  <cols>
    <col min="3" max="3" width="37.109375" customWidth="1"/>
    <col min="4" max="4" width="10" customWidth="1"/>
    <col min="7" max="7" width="14.6640625" customWidth="1"/>
    <col min="8" max="8" width="16.44140625" customWidth="1"/>
    <col min="9" max="9" width="14.5546875" customWidth="1"/>
  </cols>
  <sheetData>
    <row r="2" spans="2:9" ht="21">
      <c r="F2" s="491" t="s">
        <v>408</v>
      </c>
      <c r="G2" s="491"/>
      <c r="H2" s="491"/>
      <c r="I2" s="491"/>
    </row>
    <row r="5" spans="2:9" ht="19.2">
      <c r="C5" s="8"/>
      <c r="D5" s="8"/>
      <c r="E5" s="8"/>
      <c r="F5" s="8"/>
      <c r="G5" s="8"/>
      <c r="H5" s="46" t="s">
        <v>155</v>
      </c>
      <c r="I5" s="8"/>
    </row>
    <row r="6" spans="2:9" ht="19.2">
      <c r="C6" s="8"/>
      <c r="D6" s="8"/>
      <c r="E6" s="8"/>
      <c r="F6" s="8"/>
      <c r="G6" s="8"/>
      <c r="H6" s="46" t="s">
        <v>156</v>
      </c>
      <c r="I6" s="8"/>
    </row>
    <row r="7" spans="2:9" ht="19.2">
      <c r="B7" s="46" t="s">
        <v>164</v>
      </c>
      <c r="C7" s="8"/>
      <c r="D7" s="8"/>
      <c r="E7" s="8"/>
      <c r="F7" s="8"/>
      <c r="G7" s="8"/>
      <c r="H7" s="8"/>
      <c r="I7" s="8"/>
    </row>
    <row r="8" spans="2:9" ht="19.2">
      <c r="B8" s="46" t="s">
        <v>165</v>
      </c>
      <c r="C8" s="8"/>
      <c r="D8" s="8"/>
      <c r="E8" s="8"/>
      <c r="F8" s="8"/>
      <c r="G8" s="8"/>
      <c r="H8" s="8"/>
      <c r="I8" s="8"/>
    </row>
    <row r="9" spans="2:9" ht="24" customHeight="1">
      <c r="B9" s="494" t="s">
        <v>157</v>
      </c>
      <c r="C9" s="494"/>
      <c r="D9" s="494"/>
      <c r="E9" s="494"/>
      <c r="F9" s="494"/>
      <c r="G9" s="494"/>
      <c r="H9" s="494"/>
      <c r="I9" s="494"/>
    </row>
    <row r="10" spans="2:9" ht="51" customHeight="1">
      <c r="B10" s="493" t="str">
        <f>"ድርጅታችን "&amp;'Form Configuration'!B3&amp;"ከዚህ  በታች የ ተዘረዘሩትን "&amp;Processing!I6&amp;" መጋዘን  ያስበጠርናቸውን  ቡናዎች በኬሻና  በኮንቲነ ር  ለማስጫን  ከታች የ ተዘረዘሩትን ሰርተፊኬቶችን"</f>
        <v>ድርጅታችን ፕራክሲስ ኢንተርናሽናል ቢዝነስ ኅ/የ/የግ/ማህበርከዚህ  በታች የ ተዘረዘሩትን ሆራይዘን ቡና ማበጠሪያ መጋዘን  ያስበጠርናቸውን  ቡናዎች በኬሻና  በኮንቲነ ር  ለማስጫን  ከታች የ ተዘረዘሩትን ሰርተፊኬቶችን</v>
      </c>
      <c r="C10" s="493"/>
      <c r="D10" s="493"/>
      <c r="E10" s="493"/>
      <c r="F10" s="493"/>
      <c r="G10" s="493"/>
      <c r="H10" s="493"/>
      <c r="I10" s="493"/>
    </row>
    <row r="11" spans="2:9" ht="33.6">
      <c r="B11" s="321" t="s">
        <v>158</v>
      </c>
      <c r="C11" s="322" t="s">
        <v>449</v>
      </c>
      <c r="D11" s="322" t="s">
        <v>159</v>
      </c>
      <c r="E11" s="322" t="s">
        <v>160</v>
      </c>
      <c r="F11" s="322" t="s">
        <v>161</v>
      </c>
      <c r="G11" s="322" t="s">
        <v>162</v>
      </c>
      <c r="H11" s="495" t="s">
        <v>163</v>
      </c>
      <c r="I11" s="495"/>
    </row>
    <row r="12" spans="2:9" ht="43.95" customHeight="1">
      <c r="B12" s="260" t="str">
        <f>IF(D12="","","1")</f>
        <v>1</v>
      </c>
      <c r="C12" s="321">
        <f>IF(E12="","",Contract!$D$13)</f>
        <v>0</v>
      </c>
      <c r="D12" s="323">
        <f>IF(Staffing!I22="-","",Staffing!I22)</f>
        <v>23</v>
      </c>
      <c r="E12" s="260">
        <f>IF(D12="","",Contract!$D$18/Contract!$D$34)</f>
        <v>320</v>
      </c>
      <c r="F12" s="260" t="str">
        <f>IF(D12="","",Contract!$D$17)</f>
        <v>Bag of 60Kg</v>
      </c>
      <c r="G12" s="261">
        <f>IF(D12="","",'Shipping Instruction'!$C$5)</f>
        <v>0</v>
      </c>
      <c r="H12" s="492"/>
      <c r="I12" s="492"/>
    </row>
    <row r="13" spans="2:9" ht="45" customHeight="1">
      <c r="B13" s="260" t="str">
        <f>IF(D13="","","2")</f>
        <v/>
      </c>
      <c r="C13" s="321" t="str">
        <f>IF(E13="","",Contract!$D$13)</f>
        <v/>
      </c>
      <c r="D13" s="323" t="str">
        <f>IF(Staffing!I23="-","",Staffing!I23)</f>
        <v/>
      </c>
      <c r="E13" s="260" t="str">
        <f>IF(D13="","",Contract!$D$18/Contract!$D$34)</f>
        <v/>
      </c>
      <c r="F13" s="260" t="str">
        <f>IF(D13="","",Contract!$D$17)</f>
        <v/>
      </c>
      <c r="G13" s="261" t="str">
        <f>IF(D13="","",'Shipping Instruction'!$C$5)</f>
        <v/>
      </c>
      <c r="H13" s="492"/>
      <c r="I13" s="492"/>
    </row>
    <row r="14" spans="2:9" ht="43.95" customHeight="1">
      <c r="B14" s="260" t="str">
        <f>IF(D14="","","3")</f>
        <v/>
      </c>
      <c r="C14" s="321" t="str">
        <f>IF(E14="","",Contract!$D$13)</f>
        <v/>
      </c>
      <c r="D14" s="323" t="str">
        <f>IF(Staffing!I24="-","",Staffing!I24)</f>
        <v/>
      </c>
      <c r="E14" s="260" t="str">
        <f>IF(D14="","",Contract!$D$18/Contract!$D$34)</f>
        <v/>
      </c>
      <c r="F14" s="260" t="str">
        <f>IF(D14="","",Contract!$D$17)</f>
        <v/>
      </c>
      <c r="G14" s="261" t="str">
        <f>IF(D14="","",'Shipping Instruction'!$C$5)</f>
        <v/>
      </c>
      <c r="H14" s="492"/>
      <c r="I14" s="492"/>
    </row>
    <row r="15" spans="2:9" ht="44.4" customHeight="1">
      <c r="B15" s="260" t="str">
        <f>IF(D15="","","4")</f>
        <v/>
      </c>
      <c r="C15" s="321" t="str">
        <f>IF(E15="","",Contract!$D$13)</f>
        <v/>
      </c>
      <c r="D15" s="323" t="str">
        <f>IF(Staffing!I25="-","",Staffing!I25)</f>
        <v/>
      </c>
      <c r="E15" s="260" t="str">
        <f>IF(D15="","",Contract!$D$18/Contract!$D$34)</f>
        <v/>
      </c>
      <c r="F15" s="260" t="str">
        <f>IF(D15="","",Contract!$D$17)</f>
        <v/>
      </c>
      <c r="G15" s="261" t="str">
        <f>IF(D15="","",'Shipping Instruction'!$C$5)</f>
        <v/>
      </c>
      <c r="H15" s="492"/>
      <c r="I15" s="492"/>
    </row>
    <row r="16" spans="2:9" ht="52.2" customHeight="1">
      <c r="B16" s="260" t="str">
        <f>IF(D16="","","5")</f>
        <v/>
      </c>
      <c r="C16" s="321" t="str">
        <f>IF(E16="","",Contract!$D$13)</f>
        <v/>
      </c>
      <c r="D16" s="323" t="str">
        <f>IF(Staffing!I26="-","",Staffing!I26)</f>
        <v/>
      </c>
      <c r="E16" s="260" t="str">
        <f>IF(D16="","",Contract!$D$18/Contract!$D$34)</f>
        <v/>
      </c>
      <c r="F16" s="260" t="str">
        <f>IF(D16="","",Contract!$D$17)</f>
        <v/>
      </c>
      <c r="G16" s="261" t="str">
        <f>IF(D16="","",'Shipping Instruction'!$C$5)</f>
        <v/>
      </c>
      <c r="H16" s="492"/>
      <c r="I16" s="492"/>
    </row>
    <row r="17" spans="2:9" ht="52.2" customHeight="1">
      <c r="B17" s="260" t="str">
        <f>IF(D17="","","6")</f>
        <v/>
      </c>
      <c r="C17" s="321" t="str">
        <f>IF(E17="","",Contract!$D$13)</f>
        <v/>
      </c>
      <c r="D17" s="323" t="str">
        <f>IF(Staffing!I27="-","",Staffing!I27)</f>
        <v/>
      </c>
      <c r="E17" s="260"/>
      <c r="F17" s="260" t="str">
        <f>IF(D17="","",Contract!$D$17)</f>
        <v/>
      </c>
      <c r="G17" s="261" t="str">
        <f>IF(D17="","",'Shipping Instruction'!$C$5)</f>
        <v/>
      </c>
      <c r="H17" s="492"/>
      <c r="I17" s="492"/>
    </row>
    <row r="18" spans="2:9" ht="52.2" customHeight="1">
      <c r="B18" s="260" t="str">
        <f>IF(D18="","","7")</f>
        <v/>
      </c>
      <c r="C18" s="321" t="str">
        <f>IF(E18="","",Contract!$D$13)</f>
        <v/>
      </c>
      <c r="D18" s="323" t="str">
        <f>IF(Staffing!I28="-","",Staffing!I28)</f>
        <v/>
      </c>
      <c r="E18" s="260"/>
      <c r="F18" s="260" t="str">
        <f>IF(D18="","",Contract!$D$17)</f>
        <v/>
      </c>
      <c r="G18" s="261" t="str">
        <f>IF(D18="","",'Shipping Instruction'!$C$5)</f>
        <v/>
      </c>
      <c r="H18" s="492"/>
      <c r="I18" s="492"/>
    </row>
    <row r="19" spans="2:9" ht="52.2" customHeight="1">
      <c r="B19" s="260" t="str">
        <f>IF(D19="","","8")</f>
        <v/>
      </c>
      <c r="C19" s="321" t="str">
        <f>IF(E19="","",Contract!$D$13)</f>
        <v/>
      </c>
      <c r="D19" s="323" t="str">
        <f>IF(Staffing!I29="-","",Staffing!I29)</f>
        <v/>
      </c>
      <c r="E19" s="260"/>
      <c r="F19" s="260" t="str">
        <f>IF(D19="","",Contract!$D$17)</f>
        <v/>
      </c>
      <c r="G19" s="261" t="str">
        <f>IF(D19="","",'Shipping Instruction'!$C$5)</f>
        <v/>
      </c>
      <c r="H19" s="492"/>
      <c r="I19" s="492"/>
    </row>
    <row r="20" spans="2:9" ht="52.2" customHeight="1">
      <c r="B20" s="260" t="str">
        <f>IF(D20="","","9")</f>
        <v/>
      </c>
      <c r="C20" s="321" t="str">
        <f>IF(E20="","",Contract!$D$13)</f>
        <v/>
      </c>
      <c r="D20" s="323" t="str">
        <f>IF(Staffing!I30="-","",Staffing!I30)</f>
        <v/>
      </c>
      <c r="E20" s="260"/>
      <c r="F20" s="260" t="str">
        <f>IF(D20="","",Contract!$D$17)</f>
        <v/>
      </c>
      <c r="G20" s="261" t="str">
        <f>IF(D20="","",'Shipping Instruction'!$C$5)</f>
        <v/>
      </c>
      <c r="H20" s="492"/>
      <c r="I20" s="492"/>
    </row>
    <row r="21" spans="2:9" ht="52.2" customHeight="1">
      <c r="B21" s="260" t="str">
        <f>IF(D21="","","10")</f>
        <v/>
      </c>
      <c r="C21" s="321" t="str">
        <f>IF(E21="","",Contract!$D$13)</f>
        <v/>
      </c>
      <c r="D21" s="323" t="str">
        <f>IF(Staffing!I31="-","",Staffing!I31)</f>
        <v/>
      </c>
      <c r="E21" s="260"/>
      <c r="F21" s="260" t="str">
        <f>IF(D21="","",Contract!$D$17)</f>
        <v/>
      </c>
      <c r="G21" s="261" t="str">
        <f>IF(D21="","",'Shipping Instruction'!$C$5)</f>
        <v/>
      </c>
      <c r="H21" s="492"/>
      <c r="I21" s="492"/>
    </row>
    <row r="22" spans="2:9" ht="19.2">
      <c r="B22" s="46" t="s">
        <v>166</v>
      </c>
      <c r="C22" s="8"/>
      <c r="D22" s="8"/>
      <c r="E22" s="8"/>
      <c r="F22" s="8"/>
      <c r="G22" s="8"/>
      <c r="H22" s="8"/>
      <c r="I22" s="8"/>
    </row>
    <row r="23" spans="2:9" ht="20.399999999999999">
      <c r="B23" s="44"/>
      <c r="C23" s="8"/>
      <c r="D23" s="8"/>
      <c r="E23" s="8"/>
      <c r="F23" s="8"/>
      <c r="G23" s="8"/>
      <c r="H23" s="8"/>
      <c r="I23" s="8"/>
    </row>
    <row r="24" spans="2:9" ht="19.2">
      <c r="C24" s="8"/>
      <c r="D24" s="8"/>
      <c r="E24" s="8"/>
      <c r="F24" s="8"/>
      <c r="G24" s="8"/>
      <c r="H24" s="46" t="s">
        <v>154</v>
      </c>
      <c r="I24" s="8"/>
    </row>
    <row r="25" spans="2:9">
      <c r="C25" s="8"/>
      <c r="D25" s="8"/>
      <c r="E25" s="8"/>
      <c r="F25" s="8"/>
      <c r="G25" s="8"/>
      <c r="I25" s="8"/>
    </row>
    <row r="26" spans="2:9" ht="19.2">
      <c r="B26" s="11"/>
      <c r="C26" s="8"/>
      <c r="D26" s="8"/>
      <c r="E26" s="8"/>
      <c r="F26" s="8"/>
      <c r="G26" s="8"/>
      <c r="H26" s="46" t="s">
        <v>167</v>
      </c>
      <c r="I26" s="8"/>
    </row>
    <row r="27" spans="2:9" ht="19.2">
      <c r="B27" s="11"/>
      <c r="C27" s="8"/>
      <c r="D27" s="8"/>
      <c r="E27" s="8"/>
      <c r="F27" s="8"/>
      <c r="G27" s="8"/>
      <c r="H27" s="46" t="s">
        <v>168</v>
      </c>
      <c r="I27" s="8"/>
    </row>
    <row r="28" spans="2:9">
      <c r="B28" s="45"/>
      <c r="C28" s="8"/>
      <c r="D28" s="8"/>
      <c r="E28" s="8"/>
      <c r="F28" s="8"/>
      <c r="G28" s="8"/>
      <c r="H28" s="8"/>
      <c r="I28" s="8"/>
    </row>
    <row r="29" spans="2:9">
      <c r="B29" s="12"/>
      <c r="C29" s="8"/>
      <c r="D29" s="8"/>
      <c r="E29" s="8"/>
      <c r="F29" s="8"/>
      <c r="G29" s="8"/>
      <c r="H29" s="8"/>
      <c r="I29" s="8"/>
    </row>
  </sheetData>
  <mergeCells count="14">
    <mergeCell ref="F2:I2"/>
    <mergeCell ref="H21:I21"/>
    <mergeCell ref="H16:I16"/>
    <mergeCell ref="H17:I17"/>
    <mergeCell ref="H18:I18"/>
    <mergeCell ref="H19:I19"/>
    <mergeCell ref="H20:I20"/>
    <mergeCell ref="H15:I15"/>
    <mergeCell ref="B10:I10"/>
    <mergeCell ref="B9:I9"/>
    <mergeCell ref="H11:I11"/>
    <mergeCell ref="H12:I12"/>
    <mergeCell ref="H13:I13"/>
    <mergeCell ref="H14:I14"/>
  </mergeCells>
  <hyperlinks>
    <hyperlink ref="F2" r:id="rId1" xr:uid="{82BFF78E-1FE8-43EF-9CD4-E87D549D86DC}"/>
  </hyperlinks>
  <printOptions horizontalCentered="1"/>
  <pageMargins left="0.5" right="0.5" top="0.75" bottom="0.75" header="0.3" footer="0.05"/>
  <pageSetup scale="75" orientation="portrait" r:id="rId2"/>
  <headerFooter>
    <oddHeader>&amp;L&amp;G</oddHeader>
    <oddFooter>&amp;C&amp;G</oddFooter>
  </headerFooter>
  <legacyDrawingHF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B2:M53"/>
  <sheetViews>
    <sheetView view="pageBreakPreview" zoomScale="80" zoomScaleNormal="100" workbookViewId="0">
      <selection activeCell="C10" sqref="C10:M10"/>
    </sheetView>
  </sheetViews>
  <sheetFormatPr defaultColWidth="8" defaultRowHeight="13.2"/>
  <cols>
    <col min="1" max="1" width="8" style="140"/>
    <col min="2" max="2" width="33.5546875" style="140" customWidth="1"/>
    <col min="3" max="3" width="26.88671875" style="140" customWidth="1"/>
    <col min="4" max="4" width="5" style="140" customWidth="1"/>
    <col min="5" max="5" width="5.88671875" style="140" customWidth="1"/>
    <col min="6" max="6" width="10.88671875" style="140" customWidth="1"/>
    <col min="7" max="7" width="4" style="140" customWidth="1"/>
    <col min="8" max="8" width="1" style="140" customWidth="1"/>
    <col min="9" max="9" width="6.88671875" style="140" customWidth="1"/>
    <col min="10" max="10" width="4" style="140" customWidth="1"/>
    <col min="11" max="11" width="6.6640625" style="140" customWidth="1"/>
    <col min="12" max="12" width="1" style="140" customWidth="1"/>
    <col min="13" max="13" width="16.21875" style="140" customWidth="1"/>
    <col min="14" max="14" width="2.88671875" style="140" customWidth="1"/>
    <col min="15" max="16384" width="8" style="140"/>
  </cols>
  <sheetData>
    <row r="2" spans="2:13" ht="21">
      <c r="G2" s="257" t="s">
        <v>408</v>
      </c>
    </row>
    <row r="4" spans="2:13" ht="24.9" customHeight="1">
      <c r="G4" s="257"/>
      <c r="K4" s="148" t="s">
        <v>303</v>
      </c>
    </row>
    <row r="5" spans="2:13" ht="24" customHeight="1">
      <c r="K5" s="147" t="s">
        <v>302</v>
      </c>
    </row>
    <row r="6" spans="2:13" ht="15" customHeight="1">
      <c r="B6" s="519"/>
      <c r="C6" s="519"/>
      <c r="D6" s="519"/>
      <c r="E6" s="519"/>
      <c r="F6" s="519"/>
      <c r="G6" s="519"/>
      <c r="H6" s="519"/>
      <c r="I6" s="519"/>
      <c r="J6" s="519"/>
      <c r="K6" s="519"/>
      <c r="L6" s="519"/>
      <c r="M6" s="519"/>
    </row>
    <row r="7" spans="2:13" ht="26.4" customHeight="1">
      <c r="B7" s="520" t="s">
        <v>304</v>
      </c>
      <c r="C7" s="520"/>
      <c r="D7" s="520"/>
      <c r="E7" s="520"/>
      <c r="F7" s="520"/>
      <c r="G7" s="520"/>
      <c r="H7" s="520"/>
      <c r="I7" s="520"/>
      <c r="J7" s="520"/>
      <c r="K7" s="520"/>
      <c r="L7" s="520"/>
      <c r="M7" s="520"/>
    </row>
    <row r="8" spans="2:13" ht="15.9" customHeight="1"/>
    <row r="9" spans="2:13" ht="38.25" customHeight="1">
      <c r="B9" s="146" t="s">
        <v>80</v>
      </c>
      <c r="C9" s="521" t="str">
        <f>_xlfn.CONCAT('Form Configuration'!B1:D1,",",'Form Configuration'!B2:D2)</f>
        <v>PRAXIS  INTERNATIONAL BUSINESS PLC,NIFAS SILK LAFTO SUB CITY, WOREDA 
08, HOUSE NO 1986, ADDIS ABABA, ETHIOPIA.</v>
      </c>
      <c r="D9" s="522"/>
      <c r="E9" s="522"/>
      <c r="F9" s="522"/>
      <c r="G9" s="522"/>
      <c r="H9" s="522"/>
      <c r="I9" s="522"/>
      <c r="J9" s="522"/>
      <c r="K9" s="522"/>
      <c r="L9" s="522"/>
      <c r="M9" s="523"/>
    </row>
    <row r="10" spans="2:13" ht="30.6" customHeight="1">
      <c r="B10" s="188" t="s">
        <v>362</v>
      </c>
      <c r="C10" s="509" t="str">
        <f>'Contract-SI-LC'!K31</f>
        <v>-</v>
      </c>
      <c r="D10" s="510"/>
      <c r="E10" s="510"/>
      <c r="F10" s="510"/>
      <c r="G10" s="510"/>
      <c r="H10" s="510"/>
      <c r="I10" s="510"/>
      <c r="J10" s="510"/>
      <c r="K10" s="510"/>
      <c r="L10" s="510"/>
      <c r="M10" s="511"/>
    </row>
    <row r="11" spans="2:13" ht="21.9" customHeight="1">
      <c r="B11" s="143" t="s">
        <v>82</v>
      </c>
      <c r="C11" s="512" t="s">
        <v>83</v>
      </c>
      <c r="D11" s="514"/>
      <c r="E11" s="518">
        <f>Contract!C5</f>
        <v>0</v>
      </c>
      <c r="F11" s="510"/>
      <c r="G11" s="510"/>
      <c r="H11" s="511"/>
      <c r="I11" s="512" t="s">
        <v>84</v>
      </c>
      <c r="J11" s="514"/>
      <c r="K11" s="518">
        <f>Contract!C7</f>
        <v>0</v>
      </c>
      <c r="L11" s="510"/>
      <c r="M11" s="511"/>
    </row>
    <row r="12" spans="2:13" ht="21.9" customHeight="1">
      <c r="B12" s="143" t="s">
        <v>85</v>
      </c>
      <c r="C12" s="537" t="str">
        <f>'Contract-SI-LC'!K16</f>
        <v>CAD</v>
      </c>
      <c r="D12" s="538"/>
      <c r="E12" s="538"/>
      <c r="F12" s="538"/>
      <c r="G12" s="538"/>
      <c r="H12" s="538"/>
      <c r="I12" s="538"/>
      <c r="J12" s="538"/>
      <c r="K12" s="538"/>
      <c r="L12" s="538"/>
      <c r="M12" s="539"/>
    </row>
    <row r="13" spans="2:13" ht="17.100000000000001" customHeight="1">
      <c r="B13" s="143" t="s">
        <v>86</v>
      </c>
      <c r="C13" s="509">
        <f>'Bank &amp; LC'!C4</f>
        <v>0</v>
      </c>
      <c r="D13" s="510"/>
      <c r="E13" s="510"/>
      <c r="F13" s="510"/>
      <c r="G13" s="510"/>
      <c r="H13" s="510"/>
      <c r="I13" s="510"/>
      <c r="J13" s="510"/>
      <c r="K13" s="510"/>
      <c r="L13" s="510"/>
      <c r="M13" s="511"/>
    </row>
    <row r="14" spans="2:13" ht="17.100000000000001" customHeight="1">
      <c r="B14" s="143" t="s">
        <v>301</v>
      </c>
      <c r="C14" s="144" t="str">
        <f>'Contract-SI-LC'!K17</f>
        <v xml:space="preserve">F.O.B </v>
      </c>
      <c r="D14" s="515" t="s">
        <v>88</v>
      </c>
      <c r="E14" s="516"/>
      <c r="F14" s="516"/>
      <c r="G14" s="517"/>
      <c r="H14" s="509">
        <f>'Contract-SI-LC'!K24</f>
        <v>0</v>
      </c>
      <c r="I14" s="510"/>
      <c r="J14" s="510"/>
      <c r="K14" s="510"/>
      <c r="L14" s="510"/>
      <c r="M14" s="511"/>
    </row>
    <row r="15" spans="2:13" ht="17.100000000000001" customHeight="1">
      <c r="B15" s="143" t="s">
        <v>89</v>
      </c>
      <c r="C15" s="144">
        <f>'Contract-SI-LC'!K20</f>
        <v>0</v>
      </c>
      <c r="D15" s="515" t="s">
        <v>90</v>
      </c>
      <c r="E15" s="516"/>
      <c r="F15" s="516"/>
      <c r="G15" s="517"/>
      <c r="H15" s="518">
        <f>'Contract-SI-LC'!K20</f>
        <v>0</v>
      </c>
      <c r="I15" s="510"/>
      <c r="J15" s="510"/>
      <c r="K15" s="510"/>
      <c r="L15" s="510"/>
      <c r="M15" s="511"/>
    </row>
    <row r="16" spans="2:13" ht="17.100000000000001" customHeight="1">
      <c r="B16" s="145" t="s">
        <v>91</v>
      </c>
      <c r="C16" s="506" t="str">
        <f>'Form Configuration'!D16</f>
        <v>09011100</v>
      </c>
      <c r="D16" s="507"/>
      <c r="E16" s="507"/>
      <c r="F16" s="507"/>
      <c r="G16" s="507"/>
      <c r="H16" s="507"/>
      <c r="I16" s="507"/>
      <c r="J16" s="507"/>
      <c r="K16" s="507"/>
      <c r="L16" s="507"/>
      <c r="M16" s="508"/>
    </row>
    <row r="17" spans="2:13" ht="15.9" customHeight="1">
      <c r="B17" s="188" t="s">
        <v>361</v>
      </c>
      <c r="C17" s="509">
        <f>'Contract-SI-LC'!F35</f>
        <v>0</v>
      </c>
      <c r="D17" s="510"/>
      <c r="E17" s="510"/>
      <c r="F17" s="510"/>
      <c r="G17" s="510"/>
      <c r="H17" s="510"/>
      <c r="I17" s="510"/>
      <c r="J17" s="510"/>
      <c r="K17" s="510"/>
      <c r="L17" s="510"/>
      <c r="M17" s="511"/>
    </row>
    <row r="18" spans="2:13" ht="13.2" customHeight="1">
      <c r="B18" s="206" t="s">
        <v>93</v>
      </c>
      <c r="C18" s="143" t="s">
        <v>300</v>
      </c>
      <c r="D18" s="512" t="s">
        <v>94</v>
      </c>
      <c r="E18" s="513"/>
      <c r="F18" s="514"/>
      <c r="G18" s="525" t="s">
        <v>299</v>
      </c>
      <c r="H18" s="526"/>
      <c r="I18" s="527"/>
      <c r="J18" s="525" t="s">
        <v>298</v>
      </c>
      <c r="K18" s="526"/>
      <c r="L18" s="527"/>
      <c r="M18" s="531" t="s">
        <v>297</v>
      </c>
    </row>
    <row r="19" spans="2:13" ht="32.1" customHeight="1">
      <c r="B19" s="533">
        <f>'Contract-SI-LC'!K28</f>
        <v>0</v>
      </c>
      <c r="C19" s="204" t="s">
        <v>296</v>
      </c>
      <c r="D19" s="518" t="s">
        <v>96</v>
      </c>
      <c r="E19" s="511"/>
      <c r="F19" s="144" t="s">
        <v>97</v>
      </c>
      <c r="G19" s="528"/>
      <c r="H19" s="529"/>
      <c r="I19" s="530"/>
      <c r="J19" s="528"/>
      <c r="K19" s="529"/>
      <c r="L19" s="530"/>
      <c r="M19" s="532"/>
    </row>
    <row r="20" spans="2:13" ht="90.6" customHeight="1">
      <c r="B20" s="534"/>
      <c r="C20" s="205">
        <f>Contract!D28</f>
        <v>42328.703999999998</v>
      </c>
      <c r="D20" s="535">
        <f>Contract!D26</f>
        <v>19200</v>
      </c>
      <c r="E20" s="536"/>
      <c r="F20" s="191">
        <f>Contract!H26</f>
        <v>19440</v>
      </c>
      <c r="G20" s="497">
        <f>'Contract-SI-LC'!K25</f>
        <v>0</v>
      </c>
      <c r="H20" s="498"/>
      <c r="I20" s="499"/>
      <c r="J20" s="500">
        <f>Contract!D16</f>
        <v>154</v>
      </c>
      <c r="K20" s="501"/>
      <c r="L20" s="502"/>
      <c r="M20" s="192">
        <f>'Contract-SI-LC'!K12</f>
        <v>65186.204160000001</v>
      </c>
    </row>
    <row r="21" spans="2:13" ht="30.9" customHeight="1">
      <c r="B21" s="193" t="s">
        <v>295</v>
      </c>
      <c r="C21" s="503" t="str">
        <f>_xlfn.CONCAT("USD"," ",M20," (",NumberToWords(M20),")")</f>
        <v>USD 65186.20416 (Sixty Five Thousand One Hundred Eighty Six Birr and Twenty  Cents Only)</v>
      </c>
      <c r="D21" s="504"/>
      <c r="E21" s="504"/>
      <c r="F21" s="504"/>
      <c r="G21" s="504"/>
      <c r="H21" s="504"/>
      <c r="I21" s="504"/>
      <c r="J21" s="504"/>
      <c r="K21" s="504"/>
      <c r="L21" s="504"/>
      <c r="M21" s="505"/>
    </row>
    <row r="22" spans="2:13" ht="15" customHeight="1">
      <c r="B22" s="524" t="s">
        <v>366</v>
      </c>
      <c r="C22" s="504"/>
      <c r="D22" s="504"/>
      <c r="E22" s="504"/>
      <c r="F22" s="504"/>
      <c r="G22" s="504"/>
      <c r="H22" s="504"/>
      <c r="I22" s="504"/>
      <c r="J22" s="504"/>
      <c r="K22" s="504"/>
      <c r="L22" s="504"/>
      <c r="M22" s="505"/>
    </row>
    <row r="23" spans="2:13" ht="14.1" customHeight="1">
      <c r="B23" s="194" t="s">
        <v>363</v>
      </c>
      <c r="C23" s="189">
        <f>'Bank &amp; LC'!H7</f>
        <v>0</v>
      </c>
      <c r="M23" s="195"/>
    </row>
    <row r="24" spans="2:13" ht="14.1" customHeight="1">
      <c r="B24" s="194" t="s">
        <v>368</v>
      </c>
      <c r="C24" s="189">
        <f>'Bank &amp; LC'!H9</f>
        <v>0</v>
      </c>
      <c r="M24" s="195"/>
    </row>
    <row r="25" spans="2:13" ht="14.1" customHeight="1">
      <c r="B25" s="194" t="s">
        <v>367</v>
      </c>
      <c r="C25" s="189">
        <f>'Bank &amp; LC'!D8</f>
        <v>0</v>
      </c>
      <c r="M25" s="195"/>
    </row>
    <row r="26" spans="2:13" ht="12" customHeight="1">
      <c r="B26" s="194" t="s">
        <v>365</v>
      </c>
      <c r="C26" s="140" t="str">
        <f>'Form Configuration'!B1</f>
        <v>PRAXIS  INTERNATIONAL BUSINESS PLC</v>
      </c>
      <c r="M26" s="195"/>
    </row>
    <row r="27" spans="2:13" ht="12" customHeight="1">
      <c r="B27" s="196" t="s">
        <v>364</v>
      </c>
      <c r="C27" s="197">
        <f>'Bank &amp; LC'!H11</f>
        <v>0</v>
      </c>
      <c r="D27" s="198"/>
      <c r="E27" s="198"/>
      <c r="F27" s="198"/>
      <c r="G27" s="198"/>
      <c r="H27" s="198"/>
      <c r="I27" s="198"/>
      <c r="J27" s="198"/>
      <c r="K27" s="198"/>
      <c r="L27" s="198"/>
      <c r="M27" s="199"/>
    </row>
    <row r="28" spans="2:13" ht="12" customHeight="1"/>
    <row r="29" spans="2:13" ht="12" customHeight="1">
      <c r="B29" s="201" t="s">
        <v>369</v>
      </c>
      <c r="C29" s="496">
        <f>'Contract-SI-LC'!K27</f>
        <v>0</v>
      </c>
      <c r="D29" s="496"/>
      <c r="E29" s="496"/>
      <c r="F29" s="496"/>
      <c r="G29" s="496"/>
    </row>
    <row r="30" spans="2:13" ht="12" customHeight="1">
      <c r="C30" s="496"/>
      <c r="D30" s="496"/>
      <c r="E30" s="496"/>
      <c r="F30" s="496"/>
      <c r="G30" s="496"/>
    </row>
    <row r="31" spans="2:13" ht="12" customHeight="1">
      <c r="C31" s="496"/>
      <c r="D31" s="496"/>
      <c r="E31" s="496"/>
      <c r="F31" s="496"/>
      <c r="G31" s="496"/>
    </row>
    <row r="32" spans="2:13" ht="14.1" customHeight="1">
      <c r="C32" s="496"/>
      <c r="D32" s="496"/>
      <c r="E32" s="496"/>
      <c r="F32" s="496"/>
      <c r="G32" s="496"/>
    </row>
    <row r="33" spans="2:7" ht="18" customHeight="1">
      <c r="C33" s="496"/>
      <c r="D33" s="496"/>
      <c r="E33" s="496"/>
      <c r="F33" s="496"/>
      <c r="G33" s="496"/>
    </row>
    <row r="34" spans="2:7" ht="18" customHeight="1">
      <c r="C34" s="496"/>
      <c r="D34" s="496"/>
      <c r="E34" s="496"/>
      <c r="F34" s="496"/>
      <c r="G34" s="496"/>
    </row>
    <row r="35" spans="2:7">
      <c r="C35" s="496"/>
      <c r="D35" s="496"/>
      <c r="E35" s="496"/>
      <c r="F35" s="496"/>
      <c r="G35" s="496"/>
    </row>
    <row r="36" spans="2:7">
      <c r="C36" s="496"/>
      <c r="D36" s="496"/>
      <c r="E36" s="496"/>
      <c r="F36" s="496"/>
      <c r="G36" s="496"/>
    </row>
    <row r="37" spans="2:7">
      <c r="C37" s="496"/>
      <c r="D37" s="496"/>
      <c r="E37" s="496"/>
      <c r="F37" s="496"/>
      <c r="G37" s="496"/>
    </row>
    <row r="38" spans="2:7">
      <c r="C38" s="496"/>
      <c r="D38" s="496"/>
      <c r="E38" s="496"/>
      <c r="F38" s="496"/>
      <c r="G38" s="496"/>
    </row>
    <row r="39" spans="2:7">
      <c r="C39" s="496"/>
      <c r="D39" s="496"/>
      <c r="E39" s="496"/>
      <c r="F39" s="496"/>
      <c r="G39" s="496"/>
    </row>
    <row r="44" spans="2:7">
      <c r="B44" s="200"/>
    </row>
    <row r="45" spans="2:7">
      <c r="B45" s="142"/>
    </row>
    <row r="46" spans="2:7">
      <c r="B46" s="142"/>
    </row>
    <row r="47" spans="2:7">
      <c r="B47" s="142"/>
    </row>
    <row r="48" spans="2:7">
      <c r="B48" s="142"/>
    </row>
    <row r="49" spans="2:2">
      <c r="B49" s="142"/>
    </row>
    <row r="50" spans="2:2">
      <c r="B50" s="142"/>
    </row>
    <row r="52" spans="2:2" ht="15.6">
      <c r="B52" s="141"/>
    </row>
    <row r="53" spans="2:2" ht="15.6">
      <c r="B53" s="141"/>
    </row>
  </sheetData>
  <mergeCells count="28">
    <mergeCell ref="B6:M6"/>
    <mergeCell ref="B7:M7"/>
    <mergeCell ref="C9:M9"/>
    <mergeCell ref="C10:M10"/>
    <mergeCell ref="B22:M22"/>
    <mergeCell ref="D19:E19"/>
    <mergeCell ref="G18:I19"/>
    <mergeCell ref="J18:L19"/>
    <mergeCell ref="M18:M19"/>
    <mergeCell ref="B19:B20"/>
    <mergeCell ref="D20:E20"/>
    <mergeCell ref="C11:D11"/>
    <mergeCell ref="E11:H11"/>
    <mergeCell ref="I11:J11"/>
    <mergeCell ref="K11:M11"/>
    <mergeCell ref="C12:M12"/>
    <mergeCell ref="C13:M13"/>
    <mergeCell ref="D14:G14"/>
    <mergeCell ref="H14:M14"/>
    <mergeCell ref="D15:G15"/>
    <mergeCell ref="H15:M15"/>
    <mergeCell ref="C29:G39"/>
    <mergeCell ref="G20:I20"/>
    <mergeCell ref="J20:L20"/>
    <mergeCell ref="C21:M21"/>
    <mergeCell ref="C16:M16"/>
    <mergeCell ref="C17:M17"/>
    <mergeCell ref="D18:F18"/>
  </mergeCells>
  <hyperlinks>
    <hyperlink ref="G2" r:id="rId1" xr:uid="{9BB4FF6F-C5B1-47B2-9441-245495B939CB}"/>
  </hyperlinks>
  <pageMargins left="0.25" right="0.25" top="0.5" bottom="0.75" header="0.3" footer="0.3"/>
  <pageSetup paperSize="9" scale="81" fitToHeight="0" orientation="portrait" r:id="rId2"/>
  <headerFooter>
    <oddHeader>&amp;L&amp;G</oddHeader>
    <oddFooter>&amp;C&amp;G</oddFooter>
  </headerFooter>
  <legacyDrawingHF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D40C2-EB19-489C-A95D-7E15B0C9D5E2}">
  <sheetPr codeName="Sheet24">
    <pageSetUpPr fitToPage="1"/>
  </sheetPr>
  <dimension ref="B1:M54"/>
  <sheetViews>
    <sheetView view="pageBreakPreview" topLeftCell="A4" zoomScale="90" zoomScaleNormal="100" zoomScaleSheetLayoutView="90" workbookViewId="0">
      <selection activeCell="C26" sqref="C26"/>
    </sheetView>
  </sheetViews>
  <sheetFormatPr defaultColWidth="8" defaultRowHeight="13.2"/>
  <cols>
    <col min="1" max="1" width="8" style="140"/>
    <col min="2" max="2" width="33.5546875" style="140" customWidth="1"/>
    <col min="3" max="3" width="26.88671875" style="140" customWidth="1"/>
    <col min="4" max="4" width="5" style="140" customWidth="1"/>
    <col min="5" max="5" width="5.88671875" style="140" customWidth="1"/>
    <col min="6" max="6" width="10.88671875" style="140" customWidth="1"/>
    <col min="7" max="7" width="4" style="140" customWidth="1"/>
    <col min="8" max="8" width="1" style="140" customWidth="1"/>
    <col min="9" max="9" width="6.88671875" style="140" customWidth="1"/>
    <col min="10" max="10" width="4" style="140" customWidth="1"/>
    <col min="11" max="11" width="6.6640625" style="140" customWidth="1"/>
    <col min="12" max="12" width="1" style="140" customWidth="1"/>
    <col min="13" max="13" width="16.21875" style="140" customWidth="1"/>
    <col min="14" max="14" width="2.88671875" style="140" customWidth="1"/>
    <col min="15" max="16384" width="8" style="140"/>
  </cols>
  <sheetData>
    <row r="1" spans="2:13" ht="24.9" customHeight="1">
      <c r="B1" s="258"/>
      <c r="C1" s="258"/>
      <c r="D1" s="258"/>
      <c r="E1" s="258"/>
      <c r="F1" s="258"/>
      <c r="G1" s="258"/>
      <c r="H1" s="258"/>
      <c r="I1" s="258"/>
      <c r="J1" s="258"/>
      <c r="K1" s="258"/>
      <c r="L1" s="258"/>
      <c r="M1" s="258"/>
    </row>
    <row r="2" spans="2:13" ht="24.9" customHeight="1">
      <c r="B2" s="258"/>
      <c r="C2" s="258"/>
      <c r="D2" s="258"/>
      <c r="E2" s="258"/>
      <c r="F2" s="258"/>
      <c r="G2" s="258"/>
      <c r="H2" s="258"/>
      <c r="I2" s="258"/>
      <c r="J2" s="258"/>
      <c r="K2" s="258"/>
      <c r="L2" s="258"/>
      <c r="M2" s="258"/>
    </row>
    <row r="3" spans="2:13" ht="24.9" customHeight="1">
      <c r="B3" s="258"/>
      <c r="C3" s="258"/>
      <c r="D3" s="258"/>
      <c r="E3" s="258"/>
      <c r="F3" s="258"/>
      <c r="G3" s="257" t="s">
        <v>408</v>
      </c>
      <c r="H3" s="258"/>
      <c r="I3" s="258"/>
      <c r="J3" s="258"/>
      <c r="K3" s="258"/>
      <c r="L3" s="258"/>
      <c r="M3" s="258"/>
    </row>
    <row r="4" spans="2:13" ht="24.9" customHeight="1">
      <c r="B4" s="258"/>
      <c r="C4" s="258"/>
      <c r="D4" s="258"/>
      <c r="E4" s="258"/>
      <c r="F4" s="258"/>
      <c r="G4" s="257"/>
      <c r="H4" s="258"/>
      <c r="I4" s="258"/>
      <c r="J4" s="258"/>
      <c r="K4" s="258"/>
      <c r="L4" s="258"/>
      <c r="M4" s="258"/>
    </row>
    <row r="5" spans="2:13" ht="24.9" customHeight="1">
      <c r="B5" s="258"/>
      <c r="C5" s="258"/>
      <c r="D5" s="258"/>
      <c r="E5" s="258"/>
      <c r="F5" s="258"/>
      <c r="G5" s="257"/>
      <c r="H5" s="258"/>
      <c r="I5" s="258"/>
      <c r="J5" s="258"/>
      <c r="K5" s="148" t="s">
        <v>303</v>
      </c>
      <c r="L5" s="258"/>
      <c r="M5" s="258"/>
    </row>
    <row r="6" spans="2:13" ht="24.9" customHeight="1">
      <c r="B6" s="258"/>
      <c r="C6" s="258"/>
      <c r="D6" s="258"/>
      <c r="E6" s="258"/>
      <c r="F6" s="258"/>
      <c r="G6" s="258"/>
      <c r="H6" s="258"/>
      <c r="I6" s="258"/>
      <c r="J6" s="258"/>
      <c r="K6" s="147" t="s">
        <v>302</v>
      </c>
      <c r="L6" s="258"/>
      <c r="M6" s="258"/>
    </row>
    <row r="7" spans="2:13" ht="24" customHeight="1">
      <c r="B7" s="520" t="s">
        <v>304</v>
      </c>
      <c r="C7" s="520"/>
      <c r="D7" s="520"/>
      <c r="E7" s="520"/>
      <c r="F7" s="520"/>
      <c r="G7" s="520"/>
      <c r="H7" s="520"/>
      <c r="I7" s="520"/>
      <c r="J7" s="520"/>
      <c r="K7" s="520"/>
      <c r="L7" s="520"/>
      <c r="M7" s="520"/>
    </row>
    <row r="8" spans="2:13" ht="15" customHeight="1"/>
    <row r="9" spans="2:13" ht="15.9" customHeight="1"/>
    <row r="10" spans="2:13" ht="38.25" customHeight="1">
      <c r="B10" s="146" t="s">
        <v>80</v>
      </c>
      <c r="C10" s="521" t="str">
        <f>_xlfn.CONCAT('Form Configuration'!B1:D1,",",'Form Configuration'!B2:D2)</f>
        <v>PRAXIS  INTERNATIONAL BUSINESS PLC,NIFAS SILK LAFTO SUB CITY, WOREDA 
08, HOUSE NO 1986, ADDIS ABABA, ETHIOPIA.</v>
      </c>
      <c r="D10" s="522"/>
      <c r="E10" s="522"/>
      <c r="F10" s="522"/>
      <c r="G10" s="522"/>
      <c r="H10" s="522"/>
      <c r="I10" s="522"/>
      <c r="J10" s="522"/>
      <c r="K10" s="522"/>
      <c r="L10" s="522"/>
      <c r="M10" s="523"/>
    </row>
    <row r="11" spans="2:13" ht="27.6" customHeight="1">
      <c r="B11" s="188" t="s">
        <v>362</v>
      </c>
      <c r="C11" s="509" t="str">
        <f>'Contract-SI-LC'!K31</f>
        <v>-</v>
      </c>
      <c r="D11" s="510"/>
      <c r="E11" s="510"/>
      <c r="F11" s="510"/>
      <c r="G11" s="510"/>
      <c r="H11" s="510"/>
      <c r="I11" s="510"/>
      <c r="J11" s="510"/>
      <c r="K11" s="510"/>
      <c r="L11" s="510"/>
      <c r="M11" s="511"/>
    </row>
    <row r="12" spans="2:13" ht="21.9" customHeight="1">
      <c r="B12" s="143" t="s">
        <v>82</v>
      </c>
      <c r="C12" s="512" t="s">
        <v>83</v>
      </c>
      <c r="D12" s="514"/>
      <c r="E12" s="518">
        <f>Contract!C5</f>
        <v>0</v>
      </c>
      <c r="F12" s="510"/>
      <c r="G12" s="510"/>
      <c r="H12" s="511"/>
      <c r="I12" s="512" t="s">
        <v>84</v>
      </c>
      <c r="J12" s="514"/>
      <c r="K12" s="518">
        <f>Contract!C7</f>
        <v>0</v>
      </c>
      <c r="L12" s="510"/>
      <c r="M12" s="511"/>
    </row>
    <row r="13" spans="2:13" ht="21.9" customHeight="1">
      <c r="B13" s="143" t="s">
        <v>85</v>
      </c>
      <c r="C13" s="537" t="str">
        <f>'Contract-SI-LC'!K16</f>
        <v>CAD</v>
      </c>
      <c r="D13" s="538"/>
      <c r="E13" s="538"/>
      <c r="F13" s="538"/>
      <c r="G13" s="538"/>
      <c r="H13" s="538"/>
      <c r="I13" s="538"/>
      <c r="J13" s="538"/>
      <c r="K13" s="538"/>
      <c r="L13" s="538"/>
      <c r="M13" s="539"/>
    </row>
    <row r="14" spans="2:13" ht="17.100000000000001" customHeight="1">
      <c r="B14" s="143" t="s">
        <v>86</v>
      </c>
      <c r="C14" s="509">
        <f>'Bank &amp; LC'!C4</f>
        <v>0</v>
      </c>
      <c r="D14" s="510"/>
      <c r="E14" s="510"/>
      <c r="F14" s="510"/>
      <c r="G14" s="510"/>
      <c r="H14" s="510"/>
      <c r="I14" s="510"/>
      <c r="J14" s="510"/>
      <c r="K14" s="510"/>
      <c r="L14" s="510"/>
      <c r="M14" s="511"/>
    </row>
    <row r="15" spans="2:13" ht="17.100000000000001" customHeight="1">
      <c r="B15" s="143" t="s">
        <v>301</v>
      </c>
      <c r="C15" s="144" t="str">
        <f>'Contract-SI-LC'!K17</f>
        <v xml:space="preserve">F.O.B </v>
      </c>
      <c r="D15" s="515" t="s">
        <v>88</v>
      </c>
      <c r="E15" s="516"/>
      <c r="F15" s="516"/>
      <c r="G15" s="517"/>
      <c r="H15" s="509">
        <f>'Contract-SI-LC'!K24</f>
        <v>0</v>
      </c>
      <c r="I15" s="510"/>
      <c r="J15" s="510"/>
      <c r="K15" s="510"/>
      <c r="L15" s="510"/>
      <c r="M15" s="511"/>
    </row>
    <row r="16" spans="2:13" ht="17.100000000000001" customHeight="1">
      <c r="B16" s="143" t="s">
        <v>89</v>
      </c>
      <c r="C16" s="144">
        <f>'Contract-SI-LC'!K20</f>
        <v>0</v>
      </c>
      <c r="D16" s="544" t="s">
        <v>90</v>
      </c>
      <c r="E16" s="545"/>
      <c r="F16" s="545"/>
      <c r="G16" s="546"/>
      <c r="H16" s="518">
        <f>'Contract-SI-LC'!K20</f>
        <v>0</v>
      </c>
      <c r="I16" s="510"/>
      <c r="J16" s="510"/>
      <c r="K16" s="510"/>
      <c r="L16" s="510"/>
      <c r="M16" s="511"/>
    </row>
    <row r="17" spans="2:13" ht="17.100000000000001" customHeight="1">
      <c r="B17" s="9" t="s">
        <v>29</v>
      </c>
      <c r="C17" s="203">
        <f>'Bank &amp; LC'!H5</f>
        <v>0</v>
      </c>
      <c r="D17" s="540" t="s">
        <v>91</v>
      </c>
      <c r="E17" s="540"/>
      <c r="F17" s="540"/>
      <c r="G17" s="540"/>
      <c r="H17" s="541" t="str">
        <f>'Form Configuration'!D16</f>
        <v>09011100</v>
      </c>
      <c r="I17" s="507"/>
      <c r="J17" s="507"/>
      <c r="K17" s="507"/>
      <c r="L17" s="507"/>
      <c r="M17" s="508"/>
    </row>
    <row r="18" spans="2:13" ht="15.9" customHeight="1">
      <c r="B18" s="188" t="s">
        <v>361</v>
      </c>
      <c r="C18" s="509">
        <f>'Contract-SI-LC'!F35</f>
        <v>0</v>
      </c>
      <c r="D18" s="543"/>
      <c r="E18" s="543"/>
      <c r="F18" s="543"/>
      <c r="G18" s="543"/>
      <c r="H18" s="510"/>
      <c r="I18" s="510"/>
      <c r="J18" s="510"/>
      <c r="K18" s="510"/>
      <c r="L18" s="510"/>
      <c r="M18" s="511"/>
    </row>
    <row r="19" spans="2:13" ht="12.9" customHeight="1">
      <c r="B19" s="206" t="s">
        <v>93</v>
      </c>
      <c r="C19" s="143" t="s">
        <v>300</v>
      </c>
      <c r="D19" s="512" t="s">
        <v>94</v>
      </c>
      <c r="E19" s="513"/>
      <c r="F19" s="514"/>
      <c r="G19" s="525" t="s">
        <v>299</v>
      </c>
      <c r="H19" s="526"/>
      <c r="I19" s="527"/>
      <c r="J19" s="525" t="s">
        <v>298</v>
      </c>
      <c r="K19" s="526"/>
      <c r="L19" s="527"/>
      <c r="M19" s="531" t="s">
        <v>297</v>
      </c>
    </row>
    <row r="20" spans="2:13" ht="32.1" customHeight="1">
      <c r="B20" s="542">
        <f>'Contract-SI-LC'!K28</f>
        <v>0</v>
      </c>
      <c r="C20" s="204" t="s">
        <v>296</v>
      </c>
      <c r="D20" s="518" t="s">
        <v>96</v>
      </c>
      <c r="E20" s="511"/>
      <c r="F20" s="144" t="s">
        <v>97</v>
      </c>
      <c r="G20" s="528"/>
      <c r="H20" s="529"/>
      <c r="I20" s="530"/>
      <c r="J20" s="528"/>
      <c r="K20" s="529"/>
      <c r="L20" s="530"/>
      <c r="M20" s="532"/>
    </row>
    <row r="21" spans="2:13" ht="90.6" customHeight="1">
      <c r="B21" s="542"/>
      <c r="C21" s="205">
        <f>Contract!D28</f>
        <v>42328.703999999998</v>
      </c>
      <c r="D21" s="535">
        <f>Contract!D26</f>
        <v>19200</v>
      </c>
      <c r="E21" s="536"/>
      <c r="F21" s="191">
        <f>Contract!H26</f>
        <v>19440</v>
      </c>
      <c r="G21" s="497">
        <f>'Contract-SI-LC'!K25</f>
        <v>0</v>
      </c>
      <c r="H21" s="498"/>
      <c r="I21" s="499"/>
      <c r="J21" s="500">
        <f>Contract!D16</f>
        <v>154</v>
      </c>
      <c r="K21" s="501"/>
      <c r="L21" s="502"/>
      <c r="M21" s="192">
        <f>'Contract-SI-LC'!K12</f>
        <v>65186.204160000001</v>
      </c>
    </row>
    <row r="22" spans="2:13" ht="30.9" customHeight="1">
      <c r="B22" s="193" t="s">
        <v>295</v>
      </c>
      <c r="C22" s="503" t="str">
        <f>_xlfn.CONCAT("USD"," ",M21," (",NumberToWords(M21),")")</f>
        <v>USD 65186.20416 (Sixty Five Thousand One Hundred Eighty Six Birr and Twenty  Cents Only)</v>
      </c>
      <c r="D22" s="504"/>
      <c r="E22" s="504"/>
      <c r="F22" s="504"/>
      <c r="G22" s="504"/>
      <c r="H22" s="504"/>
      <c r="I22" s="504"/>
      <c r="J22" s="504"/>
      <c r="K22" s="504"/>
      <c r="L22" s="504"/>
      <c r="M22" s="505"/>
    </row>
    <row r="23" spans="2:13" ht="15" customHeight="1">
      <c r="B23" s="524" t="s">
        <v>366</v>
      </c>
      <c r="C23" s="504"/>
      <c r="D23" s="504"/>
      <c r="E23" s="504"/>
      <c r="F23" s="504"/>
      <c r="G23" s="504"/>
      <c r="H23" s="504"/>
      <c r="I23" s="504"/>
      <c r="J23" s="504"/>
      <c r="K23" s="504"/>
      <c r="L23" s="504"/>
      <c r="M23" s="505"/>
    </row>
    <row r="24" spans="2:13" ht="14.1" customHeight="1">
      <c r="B24" s="194" t="s">
        <v>363</v>
      </c>
      <c r="C24" s="189">
        <f>'Bank &amp; LC'!H7</f>
        <v>0</v>
      </c>
      <c r="M24" s="195"/>
    </row>
    <row r="25" spans="2:13" ht="14.1" customHeight="1">
      <c r="B25" s="194" t="s">
        <v>368</v>
      </c>
      <c r="C25" s="189">
        <f>'Bank &amp; LC'!H9</f>
        <v>0</v>
      </c>
      <c r="M25" s="195"/>
    </row>
    <row r="26" spans="2:13" ht="14.1" customHeight="1">
      <c r="B26" s="194" t="s">
        <v>367</v>
      </c>
      <c r="C26" s="189">
        <f>'Bank &amp; LC'!D8</f>
        <v>0</v>
      </c>
      <c r="M26" s="195"/>
    </row>
    <row r="27" spans="2:13" ht="12" customHeight="1">
      <c r="B27" s="194" t="s">
        <v>365</v>
      </c>
      <c r="C27" s="140" t="str">
        <f>'Form Configuration'!B1</f>
        <v>PRAXIS  INTERNATIONAL BUSINESS PLC</v>
      </c>
      <c r="M27" s="195"/>
    </row>
    <row r="28" spans="2:13" ht="12" customHeight="1">
      <c r="B28" s="196" t="s">
        <v>364</v>
      </c>
      <c r="C28" s="197">
        <f>'Bank &amp; LC'!H11</f>
        <v>0</v>
      </c>
      <c r="D28" s="198"/>
      <c r="E28" s="198"/>
      <c r="F28" s="198"/>
      <c r="G28" s="198"/>
      <c r="H28" s="198"/>
      <c r="I28" s="198"/>
      <c r="J28" s="198"/>
      <c r="K28" s="198"/>
      <c r="L28" s="198"/>
      <c r="M28" s="199"/>
    </row>
    <row r="29" spans="2:13" ht="12" customHeight="1"/>
    <row r="30" spans="2:13" ht="12" customHeight="1">
      <c r="B30" s="201" t="s">
        <v>369</v>
      </c>
      <c r="C30" s="496">
        <f>'Contract-SI-LC'!K27</f>
        <v>0</v>
      </c>
      <c r="D30" s="496"/>
      <c r="E30" s="496"/>
      <c r="F30" s="496"/>
      <c r="G30" s="496"/>
    </row>
    <row r="31" spans="2:13" ht="12" customHeight="1">
      <c r="C31" s="496"/>
      <c r="D31" s="496"/>
      <c r="E31" s="496"/>
      <c r="F31" s="496"/>
      <c r="G31" s="496"/>
    </row>
    <row r="32" spans="2:13" ht="12" customHeight="1">
      <c r="C32" s="496"/>
      <c r="D32" s="496"/>
      <c r="E32" s="496"/>
      <c r="F32" s="496"/>
      <c r="G32" s="496"/>
    </row>
    <row r="33" spans="2:7" ht="14.1" customHeight="1">
      <c r="C33" s="496"/>
      <c r="D33" s="496"/>
      <c r="E33" s="496"/>
      <c r="F33" s="496"/>
      <c r="G33" s="496"/>
    </row>
    <row r="34" spans="2:7" ht="18" customHeight="1">
      <c r="C34" s="496"/>
      <c r="D34" s="496"/>
      <c r="E34" s="496"/>
      <c r="F34" s="496"/>
      <c r="G34" s="496"/>
    </row>
    <row r="35" spans="2:7" ht="18" customHeight="1">
      <c r="C35" s="496"/>
      <c r="D35" s="496"/>
      <c r="E35" s="496"/>
      <c r="F35" s="496"/>
      <c r="G35" s="496"/>
    </row>
    <row r="36" spans="2:7">
      <c r="C36" s="496"/>
      <c r="D36" s="496"/>
      <c r="E36" s="496"/>
      <c r="F36" s="496"/>
      <c r="G36" s="496"/>
    </row>
    <row r="37" spans="2:7">
      <c r="C37" s="496"/>
      <c r="D37" s="496"/>
      <c r="E37" s="496"/>
      <c r="F37" s="496"/>
      <c r="G37" s="496"/>
    </row>
    <row r="38" spans="2:7">
      <c r="C38" s="496"/>
      <c r="D38" s="496"/>
      <c r="E38" s="496"/>
      <c r="F38" s="496"/>
      <c r="G38" s="496"/>
    </row>
    <row r="39" spans="2:7">
      <c r="C39" s="496"/>
      <c r="D39" s="496"/>
      <c r="E39" s="496"/>
      <c r="F39" s="496"/>
      <c r="G39" s="496"/>
    </row>
    <row r="40" spans="2:7">
      <c r="C40" s="496"/>
      <c r="D40" s="496"/>
      <c r="E40" s="496"/>
      <c r="F40" s="496"/>
      <c r="G40" s="496"/>
    </row>
    <row r="45" spans="2:7">
      <c r="B45" s="200"/>
    </row>
    <row r="46" spans="2:7">
      <c r="B46" s="142"/>
    </row>
    <row r="47" spans="2:7">
      <c r="B47" s="142"/>
    </row>
    <row r="48" spans="2:7">
      <c r="B48" s="142"/>
    </row>
    <row r="49" spans="2:2">
      <c r="B49" s="142"/>
    </row>
    <row r="50" spans="2:2">
      <c r="B50" s="142"/>
    </row>
    <row r="51" spans="2:2">
      <c r="B51" s="142"/>
    </row>
    <row r="53" spans="2:2" ht="15.6">
      <c r="B53" s="141"/>
    </row>
    <row r="54" spans="2:2" ht="15.6">
      <c r="B54" s="141"/>
    </row>
  </sheetData>
  <mergeCells count="28">
    <mergeCell ref="D16:G16"/>
    <mergeCell ref="H16:M16"/>
    <mergeCell ref="B7:M7"/>
    <mergeCell ref="C13:M13"/>
    <mergeCell ref="C14:M14"/>
    <mergeCell ref="D15:G15"/>
    <mergeCell ref="H15:M15"/>
    <mergeCell ref="C10:M10"/>
    <mergeCell ref="C11:M11"/>
    <mergeCell ref="C12:D12"/>
    <mergeCell ref="E12:H12"/>
    <mergeCell ref="I12:J12"/>
    <mergeCell ref="K12:M12"/>
    <mergeCell ref="B23:M23"/>
    <mergeCell ref="C30:G40"/>
    <mergeCell ref="D17:G17"/>
    <mergeCell ref="H17:M17"/>
    <mergeCell ref="B20:B21"/>
    <mergeCell ref="D20:E20"/>
    <mergeCell ref="D21:E21"/>
    <mergeCell ref="G21:I21"/>
    <mergeCell ref="J21:L21"/>
    <mergeCell ref="C22:M22"/>
    <mergeCell ref="C18:M18"/>
    <mergeCell ref="D19:F19"/>
    <mergeCell ref="G19:I20"/>
    <mergeCell ref="J19:L20"/>
    <mergeCell ref="M19:M20"/>
  </mergeCells>
  <hyperlinks>
    <hyperlink ref="G3" r:id="rId1" xr:uid="{5490E431-3CB7-4ABA-AE23-5ADF970E7EC2}"/>
  </hyperlinks>
  <pageMargins left="0.25" right="0.25" top="0" bottom="0.75" header="0.3" footer="0.3"/>
  <pageSetup paperSize="9" scale="79" orientation="portrait" r:id="rId2"/>
  <headerFooter>
    <oddHeader>&amp;L&amp;G</oddHeader>
    <oddFooter>&amp;C&amp;G</oddFooter>
  </headerFooter>
  <legacyDrawingHF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03A12F-14B9-42A3-9CD7-C35693BC920D}">
  <sheetPr codeName="Sheet9">
    <pageSetUpPr fitToPage="1"/>
  </sheetPr>
  <dimension ref="B8:R55"/>
  <sheetViews>
    <sheetView topLeftCell="A3" zoomScale="82" zoomScaleNormal="82" zoomScaleSheetLayoutView="100" workbookViewId="0">
      <selection activeCell="D25" sqref="D25"/>
    </sheetView>
  </sheetViews>
  <sheetFormatPr defaultColWidth="9.33203125" defaultRowHeight="13.2"/>
  <cols>
    <col min="1" max="1" width="9.33203125" style="140"/>
    <col min="2" max="2" width="11.6640625" style="140" customWidth="1"/>
    <col min="3" max="3" width="17.33203125" style="140" customWidth="1"/>
    <col min="4" max="4" width="22.109375" style="140" customWidth="1"/>
    <col min="5" max="5" width="6.5546875" style="140" customWidth="1"/>
    <col min="6" max="6" width="2.6640625" style="140" customWidth="1"/>
    <col min="7" max="7" width="6.77734375" style="140" customWidth="1"/>
    <col min="8" max="8" width="1.109375" style="140" customWidth="1"/>
    <col min="9" max="10" width="2.109375" style="140" customWidth="1"/>
    <col min="11" max="11" width="10.6640625" style="140" customWidth="1"/>
    <col min="12" max="12" width="2.21875" style="140" customWidth="1"/>
    <col min="13" max="13" width="9.21875" style="140" customWidth="1"/>
    <col min="14" max="14" width="10.109375" style="140" customWidth="1"/>
    <col min="15" max="15" width="10.44140625" style="140" customWidth="1"/>
    <col min="16" max="16" width="3.33203125" style="140" customWidth="1"/>
    <col min="17" max="17" width="1.109375" style="140" customWidth="1"/>
    <col min="18" max="18" width="11.44140625" style="140" customWidth="1"/>
    <col min="19" max="19" width="10.44140625" style="140" customWidth="1"/>
    <col min="20" max="16384" width="9.33203125" style="140"/>
  </cols>
  <sheetData>
    <row r="8" spans="2:18" ht="13.8" thickBot="1"/>
    <row r="9" spans="2:18" ht="15.9" customHeight="1">
      <c r="B9" s="547" t="s">
        <v>458</v>
      </c>
      <c r="C9" s="548"/>
      <c r="D9" s="548"/>
      <c r="E9" s="548"/>
      <c r="F9" s="548"/>
      <c r="G9" s="548"/>
      <c r="H9" s="548"/>
      <c r="I9" s="548"/>
      <c r="J9" s="548"/>
      <c r="K9" s="548"/>
      <c r="L9" s="548"/>
      <c r="M9" s="548"/>
      <c r="N9" s="548"/>
      <c r="O9" s="548"/>
      <c r="P9" s="548"/>
      <c r="Q9" s="548"/>
      <c r="R9" s="549"/>
    </row>
    <row r="10" spans="2:18" ht="15.9" customHeight="1">
      <c r="B10" s="550" t="s">
        <v>459</v>
      </c>
      <c r="C10" s="551"/>
      <c r="D10" s="551"/>
      <c r="E10" s="551"/>
      <c r="F10" s="551"/>
      <c r="G10" s="551"/>
      <c r="H10" s="551"/>
      <c r="I10" s="551"/>
      <c r="J10" s="551"/>
      <c r="K10" s="551"/>
      <c r="L10" s="551"/>
      <c r="M10" s="551"/>
      <c r="N10" s="551"/>
      <c r="O10" s="551"/>
      <c r="P10" s="551"/>
      <c r="Q10" s="552"/>
      <c r="R10" s="329" t="s">
        <v>460</v>
      </c>
    </row>
    <row r="11" spans="2:18" ht="14.1" customHeight="1">
      <c r="B11" s="553" t="s">
        <v>461</v>
      </c>
      <c r="C11" s="554"/>
      <c r="D11" s="555"/>
      <c r="E11" s="555"/>
      <c r="F11" s="555"/>
      <c r="G11" s="556"/>
      <c r="H11" s="557" t="s">
        <v>462</v>
      </c>
      <c r="I11" s="554"/>
      <c r="J11" s="554"/>
      <c r="K11" s="554"/>
      <c r="L11" s="554"/>
      <c r="M11" s="554"/>
      <c r="N11" s="555">
        <f>Contract!C5</f>
        <v>0</v>
      </c>
      <c r="O11" s="555"/>
      <c r="P11" s="555"/>
      <c r="Q11" s="555"/>
      <c r="R11" s="558"/>
    </row>
    <row r="12" spans="2:18" ht="14.1" customHeight="1">
      <c r="B12" s="553" t="s">
        <v>463</v>
      </c>
      <c r="C12" s="554"/>
      <c r="D12" s="555"/>
      <c r="E12" s="555"/>
      <c r="F12" s="555"/>
      <c r="G12" s="556"/>
      <c r="H12" s="557" t="s">
        <v>464</v>
      </c>
      <c r="I12" s="554"/>
      <c r="J12" s="554"/>
      <c r="K12" s="554"/>
      <c r="L12" s="554"/>
      <c r="M12" s="554"/>
      <c r="N12" s="564">
        <f>Contract!C7</f>
        <v>0</v>
      </c>
      <c r="O12" s="555"/>
      <c r="P12" s="555"/>
      <c r="Q12" s="555"/>
      <c r="R12" s="558"/>
    </row>
    <row r="13" spans="2:18" ht="16.8" customHeight="1">
      <c r="B13" s="559" t="s">
        <v>465</v>
      </c>
      <c r="C13" s="560"/>
      <c r="D13" s="560"/>
      <c r="E13" s="560"/>
      <c r="F13" s="560"/>
      <c r="G13" s="565"/>
      <c r="H13" s="566" t="s">
        <v>466</v>
      </c>
      <c r="I13" s="567"/>
      <c r="J13" s="567"/>
      <c r="K13" s="567"/>
      <c r="L13" s="567"/>
      <c r="M13" s="567"/>
      <c r="N13" s="567"/>
      <c r="O13" s="567"/>
      <c r="P13" s="567"/>
      <c r="Q13" s="567"/>
      <c r="R13" s="568"/>
    </row>
    <row r="14" spans="2:18" ht="16.8" customHeight="1">
      <c r="B14" s="569" t="str">
        <f>_xlfn.CONCAT('Form Configuration'!B1:D1,",",'Form Configuration'!B2:D2)</f>
        <v>PRAXIS  INTERNATIONAL BUSINESS PLC,NIFAS SILK LAFTO SUB CITY, WOREDA 
08, HOUSE NO 1986, ADDIS ABABA, ETHIOPIA.</v>
      </c>
      <c r="C14" s="570"/>
      <c r="D14" s="570"/>
      <c r="E14" s="570"/>
      <c r="F14" s="570"/>
      <c r="G14" s="571"/>
      <c r="H14" s="573" t="str">
        <f>IF('Bank &amp; LC'!H5=0,"",'Bank &amp; LC'!H5)</f>
        <v/>
      </c>
      <c r="I14" s="574"/>
      <c r="J14" s="574"/>
      <c r="K14" s="574"/>
      <c r="L14" s="574"/>
      <c r="M14" s="574"/>
      <c r="N14" s="574"/>
      <c r="O14" s="574"/>
      <c r="P14" s="574"/>
      <c r="Q14" s="574"/>
      <c r="R14" s="575"/>
    </row>
    <row r="15" spans="2:18" ht="18" customHeight="1">
      <c r="B15" s="569"/>
      <c r="C15" s="570"/>
      <c r="D15" s="570"/>
      <c r="E15" s="570"/>
      <c r="F15" s="570"/>
      <c r="G15" s="571"/>
      <c r="H15" s="566" t="s">
        <v>467</v>
      </c>
      <c r="I15" s="538"/>
      <c r="J15" s="538"/>
      <c r="K15" s="538"/>
      <c r="L15" s="538"/>
      <c r="M15" s="538"/>
      <c r="N15" s="538"/>
      <c r="O15" s="538"/>
      <c r="P15" s="538"/>
      <c r="Q15" s="538"/>
      <c r="R15" s="576"/>
    </row>
    <row r="16" spans="2:18" ht="17.399999999999999" customHeight="1">
      <c r="B16" s="569"/>
      <c r="C16" s="570"/>
      <c r="D16" s="570"/>
      <c r="E16" s="570"/>
      <c r="F16" s="570"/>
      <c r="G16" s="571"/>
      <c r="H16" s="577" t="str">
        <f>IF(Bookings!B43=0,"",Bookings!B43)</f>
        <v/>
      </c>
      <c r="I16" s="578"/>
      <c r="J16" s="578"/>
      <c r="K16" s="578"/>
      <c r="L16" s="578"/>
      <c r="M16" s="578"/>
      <c r="N16" s="578"/>
      <c r="O16" s="578"/>
      <c r="P16" s="578"/>
      <c r="Q16" s="578"/>
      <c r="R16" s="579"/>
    </row>
    <row r="17" spans="2:18" ht="15.6" customHeight="1">
      <c r="B17" s="572"/>
      <c r="C17" s="529"/>
      <c r="D17" s="529"/>
      <c r="E17" s="529"/>
      <c r="F17" s="529"/>
      <c r="G17" s="530"/>
      <c r="H17" s="580" t="s">
        <v>468</v>
      </c>
      <c r="I17" s="526"/>
      <c r="J17" s="526"/>
      <c r="K17" s="526"/>
      <c r="L17" s="526"/>
      <c r="M17" s="526"/>
      <c r="N17" s="526"/>
      <c r="O17" s="526"/>
      <c r="P17" s="526"/>
      <c r="Q17" s="526"/>
      <c r="R17" s="581"/>
    </row>
    <row r="18" spans="2:18" ht="14.1" customHeight="1">
      <c r="B18" s="582" t="s">
        <v>541</v>
      </c>
      <c r="C18" s="583"/>
      <c r="D18" s="583"/>
      <c r="E18" s="583"/>
      <c r="F18" s="583"/>
      <c r="G18" s="584"/>
      <c r="H18" s="561" t="s">
        <v>539</v>
      </c>
      <c r="I18" s="562"/>
      <c r="J18" s="562"/>
      <c r="K18" s="562"/>
      <c r="L18" s="562"/>
      <c r="M18" s="562"/>
      <c r="N18" s="562"/>
      <c r="O18" s="562"/>
      <c r="P18" s="562"/>
      <c r="Q18" s="562"/>
      <c r="R18" s="563"/>
    </row>
    <row r="19" spans="2:18" ht="15" customHeight="1">
      <c r="B19" s="585" t="str">
        <f>'Contract-SI-LC'!K30</f>
        <v>-</v>
      </c>
      <c r="C19" s="586"/>
      <c r="D19" s="586"/>
      <c r="E19" s="586"/>
      <c r="F19" s="586"/>
      <c r="G19" s="586"/>
      <c r="H19" s="589" t="s">
        <v>469</v>
      </c>
      <c r="I19" s="590"/>
      <c r="J19" s="590"/>
      <c r="K19" s="590"/>
      <c r="L19" s="590"/>
      <c r="M19" s="590"/>
      <c r="N19" s="590"/>
      <c r="O19" s="590"/>
      <c r="P19" s="590"/>
      <c r="Q19" s="590"/>
      <c r="R19" s="591"/>
    </row>
    <row r="20" spans="2:18" ht="16.8" customHeight="1">
      <c r="B20" s="585"/>
      <c r="C20" s="586"/>
      <c r="D20" s="586"/>
      <c r="E20" s="586"/>
      <c r="F20" s="586"/>
      <c r="G20" s="586"/>
      <c r="H20" s="592" t="str">
        <f>IF(Bookings!C6 &amp; " , " &amp; Bookings!C7="","",Bookings!C6 &amp; " , " &amp; Bookings!C7)</f>
        <v xml:space="preserve"> , </v>
      </c>
      <c r="I20" s="593"/>
      <c r="J20" s="593"/>
      <c r="K20" s="593"/>
      <c r="L20" s="593"/>
      <c r="M20" s="593"/>
      <c r="N20" s="593"/>
      <c r="O20" s="593"/>
      <c r="P20" s="593"/>
      <c r="Q20" s="593"/>
      <c r="R20" s="594"/>
    </row>
    <row r="21" spans="2:18" ht="18.600000000000001" customHeight="1">
      <c r="B21" s="587"/>
      <c r="C21" s="588"/>
      <c r="D21" s="588"/>
      <c r="E21" s="588"/>
      <c r="F21" s="588"/>
      <c r="G21" s="588"/>
      <c r="H21" s="595" t="s">
        <v>470</v>
      </c>
      <c r="I21" s="590"/>
      <c r="J21" s="590"/>
      <c r="K21" s="590"/>
      <c r="L21" s="590"/>
      <c r="M21" s="590"/>
      <c r="N21" s="590"/>
      <c r="O21" s="590"/>
      <c r="P21" s="590"/>
      <c r="Q21" s="590"/>
      <c r="R21" s="591"/>
    </row>
    <row r="22" spans="2:18" ht="16.8" customHeight="1">
      <c r="B22" s="559" t="s">
        <v>540</v>
      </c>
      <c r="C22" s="560"/>
      <c r="D22" s="560"/>
      <c r="E22" s="560"/>
      <c r="F22" s="560"/>
      <c r="G22" s="560"/>
      <c r="H22" s="596"/>
      <c r="I22" s="597"/>
      <c r="J22" s="597"/>
      <c r="K22" s="597"/>
      <c r="L22" s="597"/>
      <c r="M22" s="597"/>
      <c r="N22" s="597"/>
      <c r="O22" s="597"/>
      <c r="P22" s="597"/>
      <c r="Q22" s="597"/>
      <c r="R22" s="598"/>
    </row>
    <row r="23" spans="2:18" ht="17.399999999999999" customHeight="1">
      <c r="B23" s="603" t="str">
        <f>'Contract-SI-LC'!K29</f>
        <v>-</v>
      </c>
      <c r="C23" s="604"/>
      <c r="D23" s="604"/>
      <c r="E23" s="604"/>
      <c r="F23" s="604"/>
      <c r="G23" s="604"/>
      <c r="H23" s="599" t="s">
        <v>471</v>
      </c>
      <c r="I23" s="567"/>
      <c r="J23" s="567"/>
      <c r="K23" s="567"/>
      <c r="L23" s="567"/>
      <c r="M23" s="567"/>
      <c r="N23" s="567"/>
      <c r="O23" s="567"/>
      <c r="P23" s="567"/>
      <c r="Q23" s="567"/>
      <c r="R23" s="568"/>
    </row>
    <row r="24" spans="2:18" ht="15.6" customHeight="1" thickBot="1">
      <c r="B24" s="605"/>
      <c r="C24" s="606"/>
      <c r="D24" s="606"/>
      <c r="E24" s="606"/>
      <c r="F24" s="606"/>
      <c r="G24" s="606"/>
      <c r="H24" s="600" t="s">
        <v>472</v>
      </c>
      <c r="I24" s="601"/>
      <c r="J24" s="601"/>
      <c r="K24" s="601"/>
      <c r="L24" s="601"/>
      <c r="M24" s="601"/>
      <c r="N24" s="601"/>
      <c r="O24" s="601"/>
      <c r="P24" s="601"/>
      <c r="Q24" s="601"/>
      <c r="R24" s="602"/>
    </row>
    <row r="25" spans="2:18" ht="7.2" customHeight="1" thickBot="1">
      <c r="B25" s="330"/>
      <c r="C25" s="330"/>
      <c r="D25" s="330"/>
      <c r="E25" s="330"/>
      <c r="F25" s="330"/>
      <c r="G25" s="330"/>
      <c r="H25" s="331"/>
      <c r="I25" s="331"/>
      <c r="J25" s="331"/>
      <c r="K25" s="331"/>
      <c r="L25" s="331"/>
      <c r="M25" s="331"/>
      <c r="N25" s="331"/>
      <c r="O25" s="331"/>
      <c r="P25" s="331"/>
      <c r="Q25" s="331"/>
      <c r="R25" s="331"/>
    </row>
    <row r="26" spans="2:18" ht="28.2" customHeight="1" thickBot="1">
      <c r="B26" s="697" t="s">
        <v>473</v>
      </c>
      <c r="C26" s="705" t="s">
        <v>474</v>
      </c>
      <c r="D26" s="706"/>
      <c r="E26" s="705" t="s">
        <v>475</v>
      </c>
      <c r="F26" s="706"/>
      <c r="G26" s="628" t="s">
        <v>519</v>
      </c>
      <c r="H26" s="629"/>
      <c r="I26" s="629"/>
      <c r="J26" s="630"/>
      <c r="K26" s="626" t="s">
        <v>520</v>
      </c>
      <c r="L26" s="627"/>
      <c r="M26" s="627"/>
      <c r="N26" s="697" t="s">
        <v>522</v>
      </c>
      <c r="O26" s="703" t="s">
        <v>517</v>
      </c>
      <c r="P26" s="699" t="s">
        <v>516</v>
      </c>
      <c r="Q26" s="699"/>
      <c r="R26" s="700"/>
    </row>
    <row r="27" spans="2:18" ht="14.1" customHeight="1" thickBot="1">
      <c r="B27" s="698"/>
      <c r="C27" s="707"/>
      <c r="D27" s="708"/>
      <c r="E27" s="707"/>
      <c r="F27" s="708"/>
      <c r="G27" s="623" t="s">
        <v>518</v>
      </c>
      <c r="H27" s="624"/>
      <c r="I27" s="624"/>
      <c r="J27" s="625"/>
      <c r="K27" s="348" t="s">
        <v>518</v>
      </c>
      <c r="L27" s="637" t="s">
        <v>521</v>
      </c>
      <c r="M27" s="624"/>
      <c r="N27" s="698"/>
      <c r="O27" s="704"/>
      <c r="P27" s="701"/>
      <c r="Q27" s="701"/>
      <c r="R27" s="702"/>
    </row>
    <row r="28" spans="2:18" ht="87" customHeight="1" thickBot="1">
      <c r="B28" s="347">
        <v>1</v>
      </c>
      <c r="C28" s="614">
        <f>'Contract-SI-LC'!K28</f>
        <v>0</v>
      </c>
      <c r="D28" s="614"/>
      <c r="E28" s="619" t="str">
        <f>'Form Configuration'!D16</f>
        <v>09011100</v>
      </c>
      <c r="F28" s="619"/>
      <c r="G28" s="622">
        <f>Contract!D28</f>
        <v>42328.703999999998</v>
      </c>
      <c r="H28" s="622"/>
      <c r="I28" s="622"/>
      <c r="J28" s="622"/>
      <c r="K28" s="376">
        <f>Contract!D26</f>
        <v>19200</v>
      </c>
      <c r="L28" s="615">
        <f>Contract!H26</f>
        <v>19440</v>
      </c>
      <c r="M28" s="616"/>
      <c r="N28" s="377">
        <f>'Contract-SI-LC'!K25</f>
        <v>0</v>
      </c>
      <c r="O28" s="391">
        <f>Contract!D16</f>
        <v>154</v>
      </c>
      <c r="P28" s="617">
        <f>'Contract-SI-LC'!K12</f>
        <v>65186.204160000001</v>
      </c>
      <c r="Q28" s="617"/>
      <c r="R28" s="618"/>
    </row>
    <row r="29" spans="2:18" ht="14.1" customHeight="1">
      <c r="B29" s="631" t="s">
        <v>476</v>
      </c>
      <c r="C29" s="632"/>
      <c r="D29" s="632"/>
      <c r="E29" s="632"/>
      <c r="F29" s="632"/>
      <c r="G29" s="632"/>
      <c r="H29" s="632"/>
      <c r="I29" s="632"/>
      <c r="J29" s="632"/>
      <c r="K29" s="632"/>
      <c r="L29" s="632"/>
      <c r="M29" s="632"/>
      <c r="N29" s="632"/>
      <c r="O29" s="633"/>
      <c r="P29" s="634">
        <f>'Contract-SI-LC'!K12</f>
        <v>65186.204160000001</v>
      </c>
      <c r="Q29" s="635"/>
      <c r="R29" s="636"/>
    </row>
    <row r="30" spans="2:18" ht="14.1" customHeight="1">
      <c r="B30" s="612" t="s">
        <v>477</v>
      </c>
      <c r="C30" s="613"/>
      <c r="D30" s="620" t="str">
        <f>_xlfn.CONCAT("USD"," ",P29," (",NumberToWords(P29),")")</f>
        <v>USD 65186.20416 (Sixty Five Thousand One Hundred Eighty Six Birr and Twenty  Cents Only)</v>
      </c>
      <c r="E30" s="620"/>
      <c r="F30" s="620"/>
      <c r="G30" s="620"/>
      <c r="H30" s="620"/>
      <c r="I30" s="620"/>
      <c r="J30" s="620"/>
      <c r="K30" s="620"/>
      <c r="L30" s="620"/>
      <c r="M30" s="620"/>
      <c r="N30" s="620"/>
      <c r="O30" s="620"/>
      <c r="P30" s="620"/>
      <c r="Q30" s="620"/>
      <c r="R30" s="621"/>
    </row>
    <row r="31" spans="2:18" ht="14.1" customHeight="1" thickBot="1">
      <c r="B31" s="607" t="s">
        <v>478</v>
      </c>
      <c r="C31" s="601"/>
      <c r="D31" s="601"/>
      <c r="E31" s="601"/>
      <c r="F31" s="601"/>
      <c r="G31" s="601"/>
      <c r="H31" s="601"/>
      <c r="I31" s="601"/>
      <c r="J31" s="601"/>
      <c r="K31" s="601"/>
      <c r="L31" s="601"/>
      <c r="M31" s="601"/>
      <c r="N31" s="601"/>
      <c r="O31" s="608"/>
      <c r="P31" s="609"/>
      <c r="Q31" s="610"/>
      <c r="R31" s="611"/>
    </row>
    <row r="32" spans="2:18" ht="14.1" customHeight="1" thickBot="1">
      <c r="B32" s="638" t="s">
        <v>479</v>
      </c>
      <c r="C32" s="639"/>
      <c r="D32" s="639"/>
      <c r="E32" s="639"/>
      <c r="F32" s="639"/>
      <c r="G32" s="639"/>
      <c r="H32" s="639"/>
      <c r="I32" s="639"/>
      <c r="J32" s="639"/>
      <c r="K32" s="639"/>
      <c r="L32" s="639"/>
      <c r="M32" s="639"/>
      <c r="N32" s="639"/>
      <c r="O32" s="640"/>
      <c r="P32" s="641"/>
      <c r="Q32" s="642"/>
      <c r="R32" s="643"/>
    </row>
    <row r="33" spans="2:18" ht="9" customHeight="1" thickBot="1">
      <c r="B33" s="331"/>
      <c r="C33" s="331"/>
      <c r="D33" s="331"/>
      <c r="E33" s="331"/>
      <c r="F33" s="331"/>
      <c r="G33" s="331"/>
      <c r="H33" s="331"/>
      <c r="I33" s="331"/>
      <c r="J33" s="331"/>
      <c r="K33" s="331"/>
      <c r="L33" s="331"/>
      <c r="M33" s="331"/>
      <c r="N33" s="331"/>
      <c r="O33" s="331"/>
      <c r="P33" s="332"/>
      <c r="Q33" s="332"/>
      <c r="R33" s="332"/>
    </row>
    <row r="34" spans="2:18" ht="14.1" customHeight="1">
      <c r="B34" s="644" t="s">
        <v>480</v>
      </c>
      <c r="C34" s="645"/>
      <c r="D34" s="645"/>
      <c r="E34" s="645"/>
      <c r="F34" s="645"/>
      <c r="G34" s="645"/>
      <c r="H34" s="645"/>
      <c r="I34" s="645"/>
      <c r="J34" s="645"/>
      <c r="K34" s="645"/>
      <c r="L34" s="644" t="s">
        <v>481</v>
      </c>
      <c r="M34" s="645"/>
      <c r="N34" s="645"/>
      <c r="O34" s="645"/>
      <c r="P34" s="645"/>
      <c r="Q34" s="645"/>
      <c r="R34" s="646"/>
    </row>
    <row r="35" spans="2:18" ht="15" customHeight="1">
      <c r="B35" s="647" t="s">
        <v>482</v>
      </c>
      <c r="C35" s="648"/>
      <c r="D35" s="649">
        <f>'Bank &amp; LC'!H7</f>
        <v>0</v>
      </c>
      <c r="E35" s="649"/>
      <c r="F35" s="649"/>
      <c r="G35" s="649"/>
      <c r="H35" s="649"/>
      <c r="I35" s="649"/>
      <c r="J35" s="649"/>
      <c r="K35" s="650"/>
      <c r="L35" s="647" t="s">
        <v>483</v>
      </c>
      <c r="M35" s="648"/>
      <c r="N35" s="648"/>
      <c r="O35" s="651" t="str">
        <f>IF('Bank &amp; LC'!H13="","",'Bank &amp; LC'!H13)</f>
        <v/>
      </c>
      <c r="P35" s="538"/>
      <c r="Q35" s="538"/>
      <c r="R35" s="576"/>
    </row>
    <row r="36" spans="2:18" ht="16.2" customHeight="1">
      <c r="B36" s="647" t="s">
        <v>275</v>
      </c>
      <c r="C36" s="648"/>
      <c r="D36" s="333">
        <f>'Bank &amp; LC'!H9</f>
        <v>0</v>
      </c>
      <c r="E36" s="663" t="s">
        <v>484</v>
      </c>
      <c r="F36" s="663"/>
      <c r="G36" s="663"/>
      <c r="H36" s="538">
        <f>'Bank &amp; LC'!D8</f>
        <v>0</v>
      </c>
      <c r="I36" s="538"/>
      <c r="J36" s="538"/>
      <c r="K36" s="538"/>
      <c r="L36" s="647" t="s">
        <v>485</v>
      </c>
      <c r="M36" s="648"/>
      <c r="N36" s="648"/>
      <c r="O36" s="651" t="str">
        <f>IF('Bank &amp; LC'!H14="","",'Bank &amp; LC'!H14)</f>
        <v/>
      </c>
      <c r="P36" s="538"/>
      <c r="Q36" s="538"/>
      <c r="R36" s="576"/>
    </row>
    <row r="37" spans="2:18" ht="16.2" customHeight="1">
      <c r="B37" s="647" t="s">
        <v>486</v>
      </c>
      <c r="C37" s="648"/>
      <c r="D37" s="538" t="str">
        <f>'Form Configuration'!B1</f>
        <v>PRAXIS  INTERNATIONAL BUSINESS PLC</v>
      </c>
      <c r="E37" s="538"/>
      <c r="F37" s="538"/>
      <c r="G37" s="538"/>
      <c r="H37" s="538"/>
      <c r="I37" s="538"/>
      <c r="J37" s="538"/>
      <c r="K37" s="576"/>
      <c r="L37" s="647" t="s">
        <v>487</v>
      </c>
      <c r="M37" s="648"/>
      <c r="N37" s="648"/>
      <c r="O37" s="651" t="str">
        <f>IF('Bank &amp; LC'!H15="","",'Bank &amp; LC'!H15)</f>
        <v/>
      </c>
      <c r="P37" s="538"/>
      <c r="Q37" s="538"/>
      <c r="R37" s="576"/>
    </row>
    <row r="38" spans="2:18" ht="16.2" customHeight="1" thickBot="1">
      <c r="B38" s="652" t="s">
        <v>276</v>
      </c>
      <c r="C38" s="653"/>
      <c r="D38" s="334">
        <f>'Bank &amp; LC'!H11</f>
        <v>0</v>
      </c>
      <c r="E38" s="335"/>
      <c r="F38" s="335"/>
      <c r="G38" s="335"/>
      <c r="H38" s="335"/>
      <c r="I38" s="335"/>
      <c r="J38" s="335"/>
      <c r="K38" s="335"/>
      <c r="L38" s="652" t="s">
        <v>488</v>
      </c>
      <c r="M38" s="653"/>
      <c r="N38" s="653"/>
      <c r="O38" s="654" t="str">
        <f>IF('Bank &amp; LC'!H16="","",'Bank &amp; LC'!H16)</f>
        <v/>
      </c>
      <c r="P38" s="655"/>
      <c r="Q38" s="655"/>
      <c r="R38" s="656"/>
    </row>
    <row r="39" spans="2:18" ht="9" customHeight="1" thickBot="1">
      <c r="B39" s="336"/>
      <c r="C39" s="336"/>
      <c r="D39" s="337"/>
      <c r="E39" s="337"/>
      <c r="F39" s="337"/>
      <c r="G39" s="337"/>
      <c r="H39" s="337"/>
      <c r="I39" s="337"/>
      <c r="J39" s="337"/>
      <c r="K39" s="337"/>
      <c r="L39" s="336"/>
      <c r="M39" s="336"/>
      <c r="N39" s="336"/>
      <c r="O39" s="338"/>
      <c r="P39" s="338"/>
      <c r="Q39" s="338"/>
      <c r="R39" s="338"/>
    </row>
    <row r="40" spans="2:18" ht="14.4" customHeight="1">
      <c r="B40" s="644" t="s">
        <v>489</v>
      </c>
      <c r="C40" s="645"/>
      <c r="D40" s="657" t="str">
        <f>'Form Configuration'!K7</f>
        <v>ETHIOPIA</v>
      </c>
      <c r="E40" s="658"/>
      <c r="F40" s="658"/>
      <c r="G40" s="658"/>
      <c r="H40" s="658"/>
      <c r="I40" s="659"/>
      <c r="J40" s="660" t="s">
        <v>490</v>
      </c>
      <c r="K40" s="661"/>
      <c r="L40" s="661"/>
      <c r="M40" s="661"/>
      <c r="N40" s="661"/>
      <c r="O40" s="661"/>
      <c r="P40" s="661"/>
      <c r="Q40" s="661"/>
      <c r="R40" s="662"/>
    </row>
    <row r="41" spans="2:18" ht="14.1" customHeight="1">
      <c r="B41" s="553" t="s">
        <v>491</v>
      </c>
      <c r="C41" s="554"/>
      <c r="D41" s="555">
        <f>'Contract-SI-LC'!K24</f>
        <v>0</v>
      </c>
      <c r="E41" s="555"/>
      <c r="F41" s="555"/>
      <c r="G41" s="555"/>
      <c r="H41" s="555"/>
      <c r="I41" s="556"/>
      <c r="J41" s="664" t="s">
        <v>492</v>
      </c>
      <c r="K41" s="665"/>
      <c r="L41" s="665"/>
      <c r="M41" s="665"/>
      <c r="N41" s="665"/>
      <c r="O41" s="665"/>
      <c r="P41" s="665"/>
      <c r="Q41" s="665"/>
      <c r="R41" s="666"/>
    </row>
    <row r="42" spans="2:18" ht="14.1" customHeight="1">
      <c r="B42" s="553" t="s">
        <v>493</v>
      </c>
      <c r="C42" s="554"/>
      <c r="D42" s="555">
        <f>'Contract-SI-LC'!K20</f>
        <v>0</v>
      </c>
      <c r="E42" s="555"/>
      <c r="F42" s="555"/>
      <c r="G42" s="555"/>
      <c r="H42" s="555"/>
      <c r="I42" s="556"/>
      <c r="J42" s="580" t="s">
        <v>494</v>
      </c>
      <c r="K42" s="560"/>
      <c r="L42" s="560"/>
      <c r="M42" s="560"/>
      <c r="N42" s="560"/>
      <c r="O42" s="560"/>
      <c r="P42" s="560"/>
      <c r="Q42" s="560"/>
      <c r="R42" s="667"/>
    </row>
    <row r="43" spans="2:18" ht="14.1" customHeight="1">
      <c r="B43" s="553" t="s">
        <v>495</v>
      </c>
      <c r="C43" s="554"/>
      <c r="D43" s="555">
        <f>'Contract-SI-LC'!K20</f>
        <v>0</v>
      </c>
      <c r="E43" s="555"/>
      <c r="F43" s="555"/>
      <c r="G43" s="555"/>
      <c r="H43" s="555"/>
      <c r="I43" s="556"/>
      <c r="J43" s="668"/>
      <c r="K43" s="669"/>
      <c r="L43" s="669"/>
      <c r="M43" s="669"/>
      <c r="N43" s="669"/>
      <c r="O43" s="669"/>
      <c r="P43" s="669"/>
      <c r="Q43" s="669"/>
      <c r="R43" s="670"/>
    </row>
    <row r="44" spans="2:18" ht="14.1" customHeight="1">
      <c r="B44" s="553" t="s">
        <v>496</v>
      </c>
      <c r="C44" s="554"/>
      <c r="D44" s="538" t="str">
        <f>'Contract-SI-LC'!K17</f>
        <v xml:space="preserve">F.O.B </v>
      </c>
      <c r="E44" s="538"/>
      <c r="F44" s="538"/>
      <c r="G44" s="538"/>
      <c r="H44" s="538"/>
      <c r="I44" s="539"/>
      <c r="J44" s="580" t="s">
        <v>497</v>
      </c>
      <c r="K44" s="560"/>
      <c r="L44" s="560"/>
      <c r="M44" s="560"/>
      <c r="N44" s="560"/>
      <c r="O44" s="560"/>
      <c r="P44" s="560"/>
      <c r="Q44" s="560"/>
      <c r="R44" s="667"/>
    </row>
    <row r="45" spans="2:18" ht="14.1" customHeight="1">
      <c r="B45" s="553" t="s">
        <v>498</v>
      </c>
      <c r="C45" s="554"/>
      <c r="D45" s="555" t="s">
        <v>499</v>
      </c>
      <c r="E45" s="555"/>
      <c r="F45" s="555"/>
      <c r="G45" s="555"/>
      <c r="H45" s="555"/>
      <c r="I45" s="556"/>
      <c r="J45" s="671"/>
      <c r="K45" s="632"/>
      <c r="L45" s="632"/>
      <c r="M45" s="632"/>
      <c r="N45" s="632"/>
      <c r="O45" s="632"/>
      <c r="P45" s="632"/>
      <c r="Q45" s="632"/>
      <c r="R45" s="672"/>
    </row>
    <row r="46" spans="2:18" ht="14.1" customHeight="1">
      <c r="B46" s="553" t="s">
        <v>500</v>
      </c>
      <c r="C46" s="554"/>
      <c r="D46" s="555"/>
      <c r="E46" s="555"/>
      <c r="F46" s="555"/>
      <c r="G46" s="555"/>
      <c r="H46" s="555"/>
      <c r="I46" s="556"/>
      <c r="J46" s="525" t="s">
        <v>501</v>
      </c>
      <c r="K46" s="526"/>
      <c r="L46" s="526"/>
      <c r="M46" s="526"/>
      <c r="N46" s="526"/>
      <c r="O46" s="526"/>
      <c r="P46" s="526"/>
      <c r="Q46" s="526"/>
      <c r="R46" s="581"/>
    </row>
    <row r="47" spans="2:18" ht="16.8" customHeight="1">
      <c r="B47" s="675" t="s">
        <v>502</v>
      </c>
      <c r="C47" s="676"/>
      <c r="D47" s="676"/>
      <c r="E47" s="676"/>
      <c r="F47" s="676"/>
      <c r="G47" s="676"/>
      <c r="H47" s="676"/>
      <c r="I47" s="677"/>
      <c r="J47" s="528"/>
      <c r="K47" s="529"/>
      <c r="L47" s="529"/>
      <c r="M47" s="529"/>
      <c r="N47" s="529"/>
      <c r="O47" s="529"/>
      <c r="P47" s="529"/>
      <c r="Q47" s="529"/>
      <c r="R47" s="678"/>
    </row>
    <row r="48" spans="2:18" ht="15.6" customHeight="1">
      <c r="B48" s="569" t="str">
        <f>'Contract-SI-LC'!K16</f>
        <v>CAD</v>
      </c>
      <c r="C48" s="570"/>
      <c r="D48" s="570"/>
      <c r="E48" s="570"/>
      <c r="F48" s="570"/>
      <c r="G48" s="570"/>
      <c r="H48" s="570"/>
      <c r="I48" s="571"/>
      <c r="J48" s="679" t="s">
        <v>503</v>
      </c>
      <c r="K48" s="526"/>
      <c r="L48" s="526"/>
      <c r="M48" s="526"/>
      <c r="N48" s="526"/>
      <c r="O48" s="526"/>
      <c r="P48" s="526"/>
      <c r="Q48" s="526"/>
      <c r="R48" s="581"/>
    </row>
    <row r="49" spans="2:18" ht="17.399999999999999" customHeight="1">
      <c r="B49" s="680" t="s">
        <v>504</v>
      </c>
      <c r="C49" s="681"/>
      <c r="D49" s="681"/>
      <c r="E49" s="681"/>
      <c r="F49" s="681"/>
      <c r="G49" s="681"/>
      <c r="H49" s="681"/>
      <c r="I49" s="682"/>
      <c r="J49" s="529"/>
      <c r="K49" s="529"/>
      <c r="L49" s="529"/>
      <c r="M49" s="529"/>
      <c r="N49" s="529"/>
      <c r="O49" s="529"/>
      <c r="P49" s="529"/>
      <c r="Q49" s="529"/>
      <c r="R49" s="678"/>
    </row>
    <row r="50" spans="2:18" ht="14.1" customHeight="1">
      <c r="B50" s="683">
        <f>'Contract-SI-LC'!F35</f>
        <v>0</v>
      </c>
      <c r="C50" s="684"/>
      <c r="D50" s="684"/>
      <c r="E50" s="684"/>
      <c r="F50" s="684"/>
      <c r="G50" s="684"/>
      <c r="H50" s="684"/>
      <c r="I50" s="685"/>
      <c r="J50" s="686" t="s">
        <v>505</v>
      </c>
      <c r="K50" s="686"/>
      <c r="L50" s="686"/>
      <c r="M50" s="686"/>
      <c r="N50" s="686"/>
      <c r="O50" s="686"/>
      <c r="P50" s="686"/>
      <c r="Q50" s="686"/>
      <c r="R50" s="687"/>
    </row>
    <row r="51" spans="2:18" ht="16.8" customHeight="1">
      <c r="B51" s="694" t="s">
        <v>523</v>
      </c>
      <c r="C51" s="695"/>
      <c r="D51" s="695"/>
      <c r="E51" s="695"/>
      <c r="F51" s="695"/>
      <c r="G51" s="695"/>
      <c r="H51" s="695"/>
      <c r="I51" s="696"/>
      <c r="J51" s="688"/>
      <c r="K51" s="689"/>
      <c r="L51" s="689"/>
      <c r="M51" s="689"/>
      <c r="N51" s="689"/>
      <c r="O51" s="689"/>
      <c r="P51" s="689"/>
      <c r="Q51" s="689"/>
      <c r="R51" s="690"/>
    </row>
    <row r="52" spans="2:18" ht="15.9" customHeight="1">
      <c r="B52" s="603">
        <f>'Contract-SI-LC'!K27</f>
        <v>0</v>
      </c>
      <c r="C52" s="604"/>
      <c r="D52" s="604"/>
      <c r="E52" s="604"/>
      <c r="F52" s="604"/>
      <c r="G52" s="604"/>
      <c r="H52" s="604"/>
      <c r="I52" s="673"/>
      <c r="J52" s="688"/>
      <c r="K52" s="689"/>
      <c r="L52" s="689"/>
      <c r="M52" s="689"/>
      <c r="N52" s="689"/>
      <c r="O52" s="689"/>
      <c r="P52" s="689"/>
      <c r="Q52" s="689"/>
      <c r="R52" s="690"/>
    </row>
    <row r="53" spans="2:18" ht="117.6" customHeight="1" thickBot="1">
      <c r="B53" s="605"/>
      <c r="C53" s="606"/>
      <c r="D53" s="606"/>
      <c r="E53" s="606"/>
      <c r="F53" s="606"/>
      <c r="G53" s="606"/>
      <c r="H53" s="606"/>
      <c r="I53" s="674"/>
      <c r="J53" s="691"/>
      <c r="K53" s="692"/>
      <c r="L53" s="692"/>
      <c r="M53" s="692"/>
      <c r="N53" s="692"/>
      <c r="O53" s="692"/>
      <c r="P53" s="692"/>
      <c r="Q53" s="692"/>
      <c r="R53" s="693"/>
    </row>
    <row r="54" spans="2:18" ht="15.9" customHeight="1">
      <c r="B54" s="341"/>
    </row>
    <row r="55" spans="2:18" ht="15.9" customHeight="1">
      <c r="B55" s="339"/>
    </row>
  </sheetData>
  <mergeCells count="100">
    <mergeCell ref="B26:B27"/>
    <mergeCell ref="N26:N27"/>
    <mergeCell ref="P26:R27"/>
    <mergeCell ref="O26:O27"/>
    <mergeCell ref="C26:D27"/>
    <mergeCell ref="E26:F27"/>
    <mergeCell ref="B52:I53"/>
    <mergeCell ref="B47:I47"/>
    <mergeCell ref="J47:R47"/>
    <mergeCell ref="B48:I48"/>
    <mergeCell ref="J48:R49"/>
    <mergeCell ref="B49:I49"/>
    <mergeCell ref="B50:I50"/>
    <mergeCell ref="J50:R50"/>
    <mergeCell ref="J51:R53"/>
    <mergeCell ref="B51:I51"/>
    <mergeCell ref="B45:C45"/>
    <mergeCell ref="D45:I45"/>
    <mergeCell ref="J45:R45"/>
    <mergeCell ref="B46:C46"/>
    <mergeCell ref="D46:I46"/>
    <mergeCell ref="J46:R46"/>
    <mergeCell ref="B43:C43"/>
    <mergeCell ref="D43:I43"/>
    <mergeCell ref="J43:R43"/>
    <mergeCell ref="B44:C44"/>
    <mergeCell ref="D44:I44"/>
    <mergeCell ref="J44:R44"/>
    <mergeCell ref="B41:C41"/>
    <mergeCell ref="D41:I41"/>
    <mergeCell ref="J41:R41"/>
    <mergeCell ref="B42:C42"/>
    <mergeCell ref="D42:I42"/>
    <mergeCell ref="J42:R42"/>
    <mergeCell ref="O36:R36"/>
    <mergeCell ref="B38:C38"/>
    <mergeCell ref="L38:N38"/>
    <mergeCell ref="O38:R38"/>
    <mergeCell ref="B40:C40"/>
    <mergeCell ref="D40:I40"/>
    <mergeCell ref="J40:R40"/>
    <mergeCell ref="B37:C37"/>
    <mergeCell ref="D37:K37"/>
    <mergeCell ref="L37:N37"/>
    <mergeCell ref="O37:R37"/>
    <mergeCell ref="B36:C36"/>
    <mergeCell ref="E36:G36"/>
    <mergeCell ref="H36:K36"/>
    <mergeCell ref="L36:N36"/>
    <mergeCell ref="B32:O32"/>
    <mergeCell ref="P32:R32"/>
    <mergeCell ref="B34:K34"/>
    <mergeCell ref="L34:R34"/>
    <mergeCell ref="B35:C35"/>
    <mergeCell ref="D35:K35"/>
    <mergeCell ref="L35:N35"/>
    <mergeCell ref="O35:R35"/>
    <mergeCell ref="B23:G24"/>
    <mergeCell ref="B31:O31"/>
    <mergeCell ref="P31:R31"/>
    <mergeCell ref="B30:C30"/>
    <mergeCell ref="C28:D28"/>
    <mergeCell ref="L28:M28"/>
    <mergeCell ref="P28:R28"/>
    <mergeCell ref="E28:F28"/>
    <mergeCell ref="D30:R30"/>
    <mergeCell ref="G28:J28"/>
    <mergeCell ref="G27:J27"/>
    <mergeCell ref="K26:M26"/>
    <mergeCell ref="G26:J26"/>
    <mergeCell ref="B29:O29"/>
    <mergeCell ref="P29:R29"/>
    <mergeCell ref="L27:M27"/>
    <mergeCell ref="H20:R20"/>
    <mergeCell ref="H21:R21"/>
    <mergeCell ref="H22:R22"/>
    <mergeCell ref="H23:R23"/>
    <mergeCell ref="H24:R24"/>
    <mergeCell ref="B22:G22"/>
    <mergeCell ref="H18:R18"/>
    <mergeCell ref="B12:C12"/>
    <mergeCell ref="D12:G12"/>
    <mergeCell ref="H12:M12"/>
    <mergeCell ref="N12:R12"/>
    <mergeCell ref="B13:G13"/>
    <mergeCell ref="H13:R13"/>
    <mergeCell ref="B14:G17"/>
    <mergeCell ref="H14:R14"/>
    <mergeCell ref="H15:R15"/>
    <mergeCell ref="H16:R16"/>
    <mergeCell ref="H17:R17"/>
    <mergeCell ref="B18:G18"/>
    <mergeCell ref="B19:G21"/>
    <mergeCell ref="H19:R19"/>
    <mergeCell ref="B9:R9"/>
    <mergeCell ref="B10:Q10"/>
    <mergeCell ref="B11:C11"/>
    <mergeCell ref="D11:G11"/>
    <mergeCell ref="H11:M11"/>
    <mergeCell ref="N11:R11"/>
  </mergeCells>
  <pageMargins left="0" right="0" top="0.5" bottom="0" header="0" footer="0"/>
  <pageSetup paperSize="9" scale="80" fitToHeight="0" orientation="portrait" r:id="rId1"/>
  <headerFooter>
    <oddHeader>&amp;C&amp;G</oddHeader>
    <oddFooter>&amp;C&amp;G</oddFooter>
  </headerFooter>
  <legacyDrawingHF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pageSetUpPr fitToPage="1"/>
  </sheetPr>
  <dimension ref="A2:L33"/>
  <sheetViews>
    <sheetView view="pageBreakPreview" topLeftCell="B1" zoomScale="84" zoomScaleNormal="84" zoomScaleSheetLayoutView="82" workbookViewId="0">
      <selection activeCell="E23" sqref="E23:J33"/>
    </sheetView>
  </sheetViews>
  <sheetFormatPr defaultRowHeight="14.4"/>
  <cols>
    <col min="4" max="4" width="29.5546875" customWidth="1"/>
    <col min="5" max="5" width="14.44140625" customWidth="1"/>
    <col min="7" max="7" width="9.77734375" customWidth="1"/>
    <col min="8" max="8" width="10.5546875" customWidth="1"/>
    <col min="9" max="9" width="3.33203125" customWidth="1"/>
    <col min="10" max="10" width="5.44140625" customWidth="1"/>
    <col min="12" max="12" width="22" customWidth="1"/>
  </cols>
  <sheetData>
    <row r="2" spans="1:12" ht="21">
      <c r="I2" s="257" t="s">
        <v>408</v>
      </c>
    </row>
    <row r="5" spans="1:12">
      <c r="E5" s="8"/>
      <c r="F5" s="8"/>
      <c r="G5" s="8"/>
      <c r="H5" s="8"/>
      <c r="I5" s="8"/>
      <c r="J5" s="8"/>
      <c r="K5" s="292" t="s">
        <v>395</v>
      </c>
      <c r="L5" s="8"/>
    </row>
    <row r="6" spans="1:12">
      <c r="E6" s="8"/>
      <c r="F6" s="8"/>
      <c r="G6" s="8"/>
      <c r="H6" s="8"/>
      <c r="I6" s="8"/>
      <c r="J6" s="8"/>
      <c r="K6" s="292" t="s">
        <v>302</v>
      </c>
      <c r="L6" s="8"/>
    </row>
    <row r="7" spans="1:12">
      <c r="E7" s="8"/>
      <c r="F7" s="8"/>
      <c r="G7" s="8"/>
      <c r="H7" s="8"/>
      <c r="I7" s="8"/>
      <c r="J7" s="8"/>
      <c r="K7" s="292"/>
      <c r="L7" s="8"/>
    </row>
    <row r="8" spans="1:12" ht="24.6">
      <c r="D8" s="734" t="s">
        <v>79</v>
      </c>
      <c r="E8" s="734"/>
      <c r="F8" s="734"/>
      <c r="G8" s="734"/>
      <c r="H8" s="734"/>
      <c r="I8" s="734"/>
      <c r="J8" s="734"/>
      <c r="K8" s="734"/>
      <c r="L8" s="734"/>
    </row>
    <row r="9" spans="1:12" ht="24.6">
      <c r="E9" s="8"/>
      <c r="F9" s="20"/>
      <c r="G9" s="8"/>
      <c r="H9" s="8"/>
      <c r="I9" s="8"/>
      <c r="J9" s="8"/>
      <c r="K9" s="8"/>
      <c r="L9" s="8"/>
    </row>
    <row r="10" spans="1:12" ht="28.8" customHeight="1">
      <c r="D10" s="303" t="s">
        <v>80</v>
      </c>
      <c r="E10" s="735" t="str">
        <f>_xlfn.CONCAT('Form Configuration'!B1:D1,",",'Form Configuration'!B2:D2)</f>
        <v>PRAXIS  INTERNATIONAL BUSINESS PLC,NIFAS SILK LAFTO SUB CITY, WOREDA 
08, HOUSE NO 1986, ADDIS ABABA, ETHIOPIA.</v>
      </c>
      <c r="F10" s="736"/>
      <c r="G10" s="736"/>
      <c r="H10" s="736"/>
      <c r="I10" s="736"/>
      <c r="J10" s="736"/>
      <c r="K10" s="736"/>
      <c r="L10" s="737"/>
    </row>
    <row r="11" spans="1:12" ht="28.8" customHeight="1">
      <c r="D11" s="304" t="s">
        <v>81</v>
      </c>
      <c r="E11" s="713" t="str">
        <f>'Contract-SI-LC'!K30</f>
        <v>-</v>
      </c>
      <c r="F11" s="714"/>
      <c r="G11" s="714"/>
      <c r="H11" s="714"/>
      <c r="I11" s="714"/>
      <c r="J11" s="714"/>
      <c r="K11" s="714"/>
      <c r="L11" s="715"/>
    </row>
    <row r="12" spans="1:12" ht="28.8" customHeight="1">
      <c r="A12" s="297"/>
      <c r="C12" s="298"/>
      <c r="D12" s="302" t="s">
        <v>82</v>
      </c>
      <c r="E12" s="738" t="s">
        <v>83</v>
      </c>
      <c r="F12" s="739"/>
      <c r="G12" s="21">
        <f>Contract!C5</f>
        <v>0</v>
      </c>
      <c r="H12" s="740" t="s">
        <v>84</v>
      </c>
      <c r="I12" s="739"/>
      <c r="J12" s="741">
        <v>45026</v>
      </c>
      <c r="K12" s="742"/>
      <c r="L12" s="743"/>
    </row>
    <row r="13" spans="1:12" ht="28.8" customHeight="1">
      <c r="A13" s="297"/>
      <c r="C13" s="298"/>
      <c r="D13" s="293" t="s">
        <v>85</v>
      </c>
      <c r="E13" s="713" t="str">
        <f>'Contract-SI-LC'!K16</f>
        <v>CAD</v>
      </c>
      <c r="F13" s="714"/>
      <c r="G13" s="714"/>
      <c r="H13" s="714"/>
      <c r="I13" s="714"/>
      <c r="J13" s="714"/>
      <c r="K13" s="714"/>
      <c r="L13" s="715"/>
    </row>
    <row r="14" spans="1:12" ht="28.8" customHeight="1">
      <c r="A14" s="297"/>
      <c r="C14" s="298"/>
      <c r="D14" s="293" t="s">
        <v>86</v>
      </c>
      <c r="E14" s="713">
        <f>'Bank &amp; LC'!C4</f>
        <v>0</v>
      </c>
      <c r="F14" s="714"/>
      <c r="G14" s="714"/>
      <c r="H14" s="714"/>
      <c r="I14" s="714"/>
      <c r="J14" s="714"/>
      <c r="K14" s="714"/>
      <c r="L14" s="715"/>
    </row>
    <row r="15" spans="1:12" ht="28.8" customHeight="1">
      <c r="A15" s="297"/>
      <c r="C15" s="298"/>
      <c r="D15" s="293" t="s">
        <v>87</v>
      </c>
      <c r="E15" s="713" t="str">
        <f>'Contract-SI-LC'!K17</f>
        <v xml:space="preserve">F.O.B </v>
      </c>
      <c r="F15" s="726"/>
      <c r="G15" s="732" t="s">
        <v>88</v>
      </c>
      <c r="H15" s="733"/>
      <c r="I15" s="725">
        <f>'Contract-SI-LC'!K24</f>
        <v>0</v>
      </c>
      <c r="J15" s="714"/>
      <c r="K15" s="714"/>
      <c r="L15" s="715"/>
    </row>
    <row r="16" spans="1:12" ht="28.8" customHeight="1">
      <c r="A16" s="297"/>
      <c r="C16" s="298"/>
      <c r="D16" s="293" t="s">
        <v>89</v>
      </c>
      <c r="E16" s="713">
        <f>'Contract-SI-LC'!K20</f>
        <v>0</v>
      </c>
      <c r="F16" s="726"/>
      <c r="G16" s="732" t="s">
        <v>90</v>
      </c>
      <c r="H16" s="733"/>
      <c r="I16" s="725">
        <f>'Contract-SI-LC'!K20</f>
        <v>0</v>
      </c>
      <c r="J16" s="714"/>
      <c r="K16" s="714"/>
      <c r="L16" s="715"/>
    </row>
    <row r="17" spans="1:12" ht="28.8" customHeight="1">
      <c r="A17" s="297"/>
      <c r="C17" s="298"/>
      <c r="D17" s="294" t="s">
        <v>91</v>
      </c>
      <c r="E17" s="710" t="str">
        <f>'Form Configuration'!D16</f>
        <v>09011100</v>
      </c>
      <c r="F17" s="711"/>
      <c r="G17" s="711"/>
      <c r="H17" s="711"/>
      <c r="I17" s="711"/>
      <c r="J17" s="711"/>
      <c r="K17" s="711"/>
      <c r="L17" s="712"/>
    </row>
    <row r="18" spans="1:12" ht="28.8" customHeight="1">
      <c r="A18" s="297"/>
      <c r="C18" s="298"/>
      <c r="D18" s="293" t="s">
        <v>92</v>
      </c>
      <c r="E18" s="713">
        <f>'Contract-SI-LC'!F35</f>
        <v>0</v>
      </c>
      <c r="F18" s="714"/>
      <c r="G18" s="714"/>
      <c r="H18" s="714"/>
      <c r="I18" s="714"/>
      <c r="J18" s="714"/>
      <c r="K18" s="714"/>
      <c r="L18" s="715"/>
    </row>
    <row r="19" spans="1:12" ht="28.8" customHeight="1">
      <c r="A19" s="297"/>
      <c r="C19" s="298"/>
      <c r="D19" s="293" t="s">
        <v>93</v>
      </c>
      <c r="E19" s="716" t="s">
        <v>94</v>
      </c>
      <c r="F19" s="717"/>
      <c r="G19" s="717"/>
      <c r="H19" s="717"/>
      <c r="I19" s="717"/>
      <c r="J19" s="718"/>
      <c r="K19" s="719" t="s">
        <v>95</v>
      </c>
      <c r="L19" s="720"/>
    </row>
    <row r="20" spans="1:12">
      <c r="A20" s="297"/>
      <c r="C20" s="298"/>
      <c r="D20" s="723">
        <f>'Contract-SI-LC'!K28</f>
        <v>0</v>
      </c>
      <c r="E20" s="295" t="s">
        <v>96</v>
      </c>
      <c r="F20" s="725" t="s">
        <v>97</v>
      </c>
      <c r="G20" s="714"/>
      <c r="H20" s="714"/>
      <c r="I20" s="714"/>
      <c r="J20" s="726"/>
      <c r="K20" s="721"/>
      <c r="L20" s="722"/>
    </row>
    <row r="21" spans="1:12" ht="118.8" customHeight="1">
      <c r="A21" s="299"/>
      <c r="B21" s="300"/>
      <c r="C21" s="301"/>
      <c r="D21" s="724"/>
      <c r="E21" s="296">
        <f>Contract!D26</f>
        <v>19200</v>
      </c>
      <c r="F21" s="727">
        <f>Contract!H26</f>
        <v>19440</v>
      </c>
      <c r="G21" s="728"/>
      <c r="H21" s="728"/>
      <c r="I21" s="728"/>
      <c r="J21" s="729"/>
      <c r="K21" s="730">
        <f>'Contract-SI-LC'!K25</f>
        <v>0</v>
      </c>
      <c r="L21" s="731"/>
    </row>
    <row r="22" spans="1:12">
      <c r="H22" s="8"/>
      <c r="I22" s="8"/>
      <c r="J22" s="8"/>
      <c r="K22" s="8"/>
      <c r="L22" s="8"/>
    </row>
    <row r="23" spans="1:12">
      <c r="D23" s="17" t="s">
        <v>142</v>
      </c>
      <c r="E23" s="709">
        <f>'Contract-SI-LC'!K27</f>
        <v>0</v>
      </c>
      <c r="F23" s="709"/>
      <c r="G23" s="709"/>
      <c r="H23" s="709"/>
      <c r="I23" s="709"/>
      <c r="J23" s="709"/>
      <c r="K23" s="8"/>
      <c r="L23" s="8"/>
    </row>
    <row r="24" spans="1:12">
      <c r="E24" s="709"/>
      <c r="F24" s="709"/>
      <c r="G24" s="709"/>
      <c r="H24" s="709"/>
      <c r="I24" s="709"/>
      <c r="J24" s="709"/>
      <c r="K24" s="8"/>
      <c r="L24" s="8"/>
    </row>
    <row r="25" spans="1:12">
      <c r="E25" s="709"/>
      <c r="F25" s="709"/>
      <c r="G25" s="709"/>
      <c r="H25" s="709"/>
      <c r="I25" s="709"/>
      <c r="J25" s="709"/>
      <c r="K25" s="8"/>
      <c r="L25" s="8"/>
    </row>
    <row r="26" spans="1:12">
      <c r="E26" s="709"/>
      <c r="F26" s="709"/>
      <c r="G26" s="709"/>
      <c r="H26" s="709"/>
      <c r="I26" s="709"/>
      <c r="J26" s="709"/>
      <c r="K26" s="8"/>
      <c r="L26" s="8"/>
    </row>
    <row r="27" spans="1:12">
      <c r="E27" s="709"/>
      <c r="F27" s="709"/>
      <c r="G27" s="709"/>
      <c r="H27" s="709"/>
      <c r="I27" s="709"/>
      <c r="J27" s="709"/>
      <c r="K27" s="8"/>
      <c r="L27" s="8"/>
    </row>
    <row r="28" spans="1:12">
      <c r="E28" s="709"/>
      <c r="F28" s="709"/>
      <c r="G28" s="709"/>
      <c r="H28" s="709"/>
      <c r="I28" s="709"/>
      <c r="J28" s="709"/>
      <c r="K28" s="8"/>
      <c r="L28" s="8"/>
    </row>
    <row r="29" spans="1:12">
      <c r="E29" s="709"/>
      <c r="F29" s="709"/>
      <c r="G29" s="709"/>
      <c r="H29" s="709"/>
      <c r="I29" s="709"/>
      <c r="J29" s="709"/>
      <c r="K29" s="8"/>
      <c r="L29" s="8"/>
    </row>
    <row r="30" spans="1:12">
      <c r="D30" s="10"/>
      <c r="E30" s="709"/>
      <c r="F30" s="709"/>
      <c r="G30" s="709"/>
      <c r="H30" s="709"/>
      <c r="I30" s="709"/>
      <c r="J30" s="709"/>
      <c r="K30" s="8"/>
      <c r="L30" s="8"/>
    </row>
    <row r="31" spans="1:12">
      <c r="D31" s="10"/>
      <c r="E31" s="709"/>
      <c r="F31" s="709"/>
      <c r="G31" s="709"/>
      <c r="H31" s="709"/>
      <c r="I31" s="709"/>
      <c r="J31" s="709"/>
      <c r="K31" s="8"/>
      <c r="L31" s="8"/>
    </row>
    <row r="32" spans="1:12">
      <c r="D32" s="11"/>
      <c r="E32" s="709"/>
      <c r="F32" s="709"/>
      <c r="G32" s="709"/>
      <c r="H32" s="709"/>
      <c r="I32" s="709"/>
      <c r="J32" s="709"/>
      <c r="K32" s="8"/>
      <c r="L32" s="8"/>
    </row>
    <row r="33" spans="4:12">
      <c r="D33" s="12"/>
      <c r="E33" s="709"/>
      <c r="F33" s="709"/>
      <c r="G33" s="709"/>
      <c r="H33" s="709"/>
      <c r="I33" s="709"/>
      <c r="J33" s="709"/>
      <c r="K33" s="8"/>
      <c r="L33" s="8"/>
    </row>
  </sheetData>
  <mergeCells count="23">
    <mergeCell ref="D8:L8"/>
    <mergeCell ref="E13:L13"/>
    <mergeCell ref="E10:L10"/>
    <mergeCell ref="E11:L11"/>
    <mergeCell ref="E12:F12"/>
    <mergeCell ref="H12:I12"/>
    <mergeCell ref="J12:L12"/>
    <mergeCell ref="D20:D21"/>
    <mergeCell ref="F20:J20"/>
    <mergeCell ref="F21:J21"/>
    <mergeCell ref="K21:L21"/>
    <mergeCell ref="E14:L14"/>
    <mergeCell ref="E15:F15"/>
    <mergeCell ref="G15:H15"/>
    <mergeCell ref="I15:L15"/>
    <mergeCell ref="E16:F16"/>
    <mergeCell ref="G16:H16"/>
    <mergeCell ref="I16:L16"/>
    <mergeCell ref="E23:J33"/>
    <mergeCell ref="E17:L17"/>
    <mergeCell ref="E18:L18"/>
    <mergeCell ref="E19:J19"/>
    <mergeCell ref="K19:L20"/>
  </mergeCells>
  <hyperlinks>
    <hyperlink ref="I2" r:id="rId1" xr:uid="{4F3A2267-B5C2-42EC-8705-F20774229633}"/>
  </hyperlinks>
  <pageMargins left="0.25" right="0.25" top="0.75" bottom="0.75" header="0.3" footer="0.3"/>
  <pageSetup scale="90" fitToHeight="0" orientation="portrait" r:id="rId2"/>
  <headerFooter>
    <oddHeader>&amp;L&amp;G</oddHeader>
    <oddFooter>&amp;C&amp;G</oddFooter>
  </headerFooter>
  <legacyDrawingHF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B9F4A9-0515-4F8F-945B-1639535996C8}">
  <sheetPr codeName="Sheet18">
    <pageSetUpPr fitToPage="1"/>
  </sheetPr>
  <dimension ref="A1:L42"/>
  <sheetViews>
    <sheetView topLeftCell="A6" zoomScale="65" workbookViewId="0">
      <selection activeCell="O32" sqref="O32"/>
    </sheetView>
  </sheetViews>
  <sheetFormatPr defaultColWidth="9.33203125" defaultRowHeight="13.2"/>
  <cols>
    <col min="1" max="1" width="32.6640625" style="140" customWidth="1"/>
    <col min="2" max="2" width="18.6640625" style="140" customWidth="1"/>
    <col min="3" max="3" width="11.44140625" style="140" customWidth="1"/>
    <col min="4" max="4" width="2.109375" style="140" customWidth="1"/>
    <col min="5" max="5" width="3.33203125" style="140" customWidth="1"/>
    <col min="6" max="6" width="2.109375" style="140" customWidth="1"/>
    <col min="7" max="7" width="18.6640625" style="140" customWidth="1"/>
    <col min="8" max="8" width="4.6640625" style="140" customWidth="1"/>
    <col min="9" max="9" width="12.6640625" style="140" customWidth="1"/>
    <col min="10" max="10" width="2.109375" style="140" customWidth="1"/>
    <col min="11" max="11" width="3.33203125" style="140" customWidth="1"/>
    <col min="12" max="12" width="17.33203125" style="140" customWidth="1"/>
    <col min="13" max="13" width="2.109375" style="140" customWidth="1"/>
    <col min="14" max="16384" width="9.33203125" style="140"/>
  </cols>
  <sheetData>
    <row r="1" spans="1:12" ht="14.4">
      <c r="I1"/>
    </row>
    <row r="2" spans="1:12" ht="21">
      <c r="I2" s="257" t="s">
        <v>408</v>
      </c>
    </row>
    <row r="4" spans="1:12" ht="14.1" customHeight="1">
      <c r="K4" s="310" t="s">
        <v>395</v>
      </c>
    </row>
    <row r="5" spans="1:12" ht="14.1" customHeight="1">
      <c r="K5" s="310" t="s">
        <v>302</v>
      </c>
    </row>
    <row r="6" spans="1:12" ht="14.1" customHeight="1">
      <c r="L6" s="213"/>
    </row>
    <row r="7" spans="1:12" ht="27" customHeight="1">
      <c r="C7" s="308" t="s">
        <v>432</v>
      </c>
      <c r="D7" s="309"/>
      <c r="E7" s="309"/>
      <c r="F7" s="309"/>
      <c r="G7" s="309"/>
      <c r="H7" s="309"/>
    </row>
    <row r="8" spans="1:12" ht="19.2" customHeight="1">
      <c r="C8" s="212"/>
    </row>
    <row r="9" spans="1:12" ht="27" customHeight="1">
      <c r="A9" s="210" t="s">
        <v>21</v>
      </c>
      <c r="B9" s="762" t="str">
        <f>_xlfn.CONCAT('Form Configuration'!B1:D1,",",'Form Configuration'!B2:D2)</f>
        <v>PRAXIS  INTERNATIONAL BUSINESS PLC,NIFAS SILK LAFTO SUB CITY, WOREDA 
08, HOUSE NO 1986, ADDIS ABABA, ETHIOPIA.</v>
      </c>
      <c r="C9" s="763"/>
      <c r="D9" s="763"/>
      <c r="E9" s="763"/>
      <c r="F9" s="763"/>
      <c r="G9" s="763"/>
      <c r="H9" s="763"/>
      <c r="I9" s="763"/>
      <c r="J9" s="763"/>
      <c r="K9" s="763"/>
      <c r="L9" s="764"/>
    </row>
    <row r="10" spans="1:12" ht="17.100000000000001" customHeight="1">
      <c r="A10" s="210" t="s">
        <v>22</v>
      </c>
      <c r="B10" s="762" t="str">
        <f>'Contract-SI-LC'!K31</f>
        <v>-</v>
      </c>
      <c r="C10" s="763"/>
      <c r="D10" s="763"/>
      <c r="E10" s="763"/>
      <c r="F10" s="763"/>
      <c r="G10" s="763"/>
      <c r="H10" s="763"/>
      <c r="I10" s="763"/>
      <c r="J10" s="763"/>
      <c r="K10" s="763"/>
      <c r="L10" s="764"/>
    </row>
    <row r="11" spans="1:12" ht="26.1" customHeight="1">
      <c r="A11" s="210" t="s">
        <v>23</v>
      </c>
      <c r="B11" s="762" t="str">
        <f>'Contract-SI-LC'!K29</f>
        <v>-</v>
      </c>
      <c r="C11" s="763"/>
      <c r="D11" s="763"/>
      <c r="E11" s="763"/>
      <c r="F11" s="763"/>
      <c r="G11" s="763"/>
      <c r="H11" s="763"/>
      <c r="I11" s="763"/>
      <c r="J11" s="763"/>
      <c r="K11" s="763"/>
      <c r="L11" s="764"/>
    </row>
    <row r="12" spans="1:12" ht="18.899999999999999" customHeight="1">
      <c r="A12" s="210" t="s">
        <v>24</v>
      </c>
      <c r="B12" s="748" t="s">
        <v>25</v>
      </c>
      <c r="C12" s="750"/>
      <c r="D12" s="749"/>
      <c r="E12" s="744">
        <f>Contract!C5</f>
        <v>0</v>
      </c>
      <c r="F12" s="745"/>
      <c r="G12" s="745"/>
      <c r="H12" s="746"/>
      <c r="I12" s="210" t="s">
        <v>26</v>
      </c>
      <c r="J12" s="765"/>
      <c r="K12" s="766"/>
      <c r="L12" s="767"/>
    </row>
    <row r="13" spans="1:12" ht="17.100000000000001" customHeight="1">
      <c r="A13" s="210" t="s">
        <v>27</v>
      </c>
      <c r="B13" s="751" t="str">
        <f>'Contract-SI-LC'!K17</f>
        <v xml:space="preserve">F.O.B </v>
      </c>
      <c r="C13" s="753"/>
      <c r="D13" s="753"/>
      <c r="E13" s="752"/>
      <c r="F13" s="748" t="s">
        <v>382</v>
      </c>
      <c r="G13" s="750"/>
      <c r="H13" s="749"/>
      <c r="I13" s="751">
        <f>'Contract-SI-LC'!K24</f>
        <v>0</v>
      </c>
      <c r="J13" s="753"/>
      <c r="K13" s="753"/>
      <c r="L13" s="752"/>
    </row>
    <row r="14" spans="1:12" ht="17.100000000000001" customHeight="1">
      <c r="A14" s="210" t="s">
        <v>28</v>
      </c>
      <c r="B14" s="751">
        <f>'Contract-SI-LC'!K20</f>
        <v>0</v>
      </c>
      <c r="C14" s="753"/>
      <c r="D14" s="753"/>
      <c r="E14" s="752"/>
      <c r="F14" s="748" t="s">
        <v>381</v>
      </c>
      <c r="G14" s="750"/>
      <c r="H14" s="749"/>
      <c r="I14" s="751">
        <f>'Contract-SI-LC'!K20</f>
        <v>0</v>
      </c>
      <c r="J14" s="753"/>
      <c r="K14" s="753"/>
      <c r="L14" s="752"/>
    </row>
    <row r="15" spans="1:12" ht="15" customHeight="1">
      <c r="A15" s="210" t="s">
        <v>29</v>
      </c>
      <c r="B15" s="762">
        <f>'Bank &amp; LC'!H5</f>
        <v>0</v>
      </c>
      <c r="C15" s="763"/>
      <c r="D15" s="763"/>
      <c r="E15" s="764"/>
      <c r="F15" s="756" t="s">
        <v>30</v>
      </c>
      <c r="G15" s="757"/>
      <c r="H15" s="758"/>
      <c r="I15" s="759" t="str">
        <f>'Form Configuration'!D16</f>
        <v>09011100</v>
      </c>
      <c r="J15" s="760"/>
      <c r="K15" s="760"/>
      <c r="L15" s="761"/>
    </row>
    <row r="16" spans="1:12" ht="14.1" customHeight="1">
      <c r="A16" s="210" t="s">
        <v>380</v>
      </c>
      <c r="B16" s="744">
        <f>Bookings!B43</f>
        <v>0</v>
      </c>
      <c r="C16" s="745"/>
      <c r="D16" s="745"/>
      <c r="E16" s="745"/>
      <c r="F16" s="745"/>
      <c r="G16" s="745"/>
      <c r="H16" s="745"/>
      <c r="I16" s="745"/>
      <c r="J16" s="745"/>
      <c r="K16" s="745"/>
      <c r="L16" s="746"/>
    </row>
    <row r="17" spans="1:12" ht="14.1" customHeight="1">
      <c r="A17" s="210" t="s">
        <v>379</v>
      </c>
      <c r="B17" s="211">
        <f>Bookings!C5</f>
        <v>0</v>
      </c>
      <c r="C17" s="748" t="s">
        <v>378</v>
      </c>
      <c r="D17" s="750"/>
      <c r="E17" s="750"/>
      <c r="F17" s="749"/>
      <c r="G17" s="211">
        <f>Bookings!C6</f>
        <v>0</v>
      </c>
      <c r="H17" s="748" t="s">
        <v>377</v>
      </c>
      <c r="I17" s="749"/>
      <c r="J17" s="751">
        <f>Bookings!C7</f>
        <v>0</v>
      </c>
      <c r="K17" s="753"/>
      <c r="L17" s="752"/>
    </row>
    <row r="18" spans="1:12" ht="12.9" customHeight="1">
      <c r="A18" s="210" t="s">
        <v>31</v>
      </c>
      <c r="B18" s="751">
        <f>'Contract-SI-LC'!F35</f>
        <v>0</v>
      </c>
      <c r="C18" s="753"/>
      <c r="D18" s="753"/>
      <c r="E18" s="753"/>
      <c r="F18" s="753"/>
      <c r="G18" s="753"/>
      <c r="H18" s="753"/>
      <c r="I18" s="753"/>
      <c r="J18" s="753"/>
      <c r="K18" s="753"/>
      <c r="L18" s="752"/>
    </row>
    <row r="19" spans="1:12" ht="56.4" customHeight="1">
      <c r="A19" s="210" t="s">
        <v>32</v>
      </c>
      <c r="B19" s="754">
        <f>'Contract-SI-LC'!K28</f>
        <v>0</v>
      </c>
      <c r="C19" s="538"/>
      <c r="D19" s="538"/>
      <c r="E19" s="538"/>
      <c r="F19" s="538"/>
      <c r="G19" s="538"/>
      <c r="H19" s="538"/>
      <c r="I19" s="538"/>
      <c r="J19" s="538"/>
      <c r="K19" s="538"/>
      <c r="L19" s="539"/>
    </row>
    <row r="20" spans="1:12" ht="12" customHeight="1">
      <c r="A20" s="210" t="s">
        <v>376</v>
      </c>
      <c r="B20" s="755" t="s">
        <v>447</v>
      </c>
      <c r="C20" s="752"/>
      <c r="D20" s="751" t="str">
        <f>CONCATENATE(Contract!H30," MT")</f>
        <v>19.44 MT</v>
      </c>
      <c r="E20" s="753"/>
      <c r="F20" s="753"/>
      <c r="G20" s="752"/>
      <c r="H20" s="751" t="s">
        <v>375</v>
      </c>
      <c r="I20" s="753"/>
      <c r="J20" s="752"/>
      <c r="K20" s="751" t="str">
        <f>CONCATENATE(Contract!D30," MT")</f>
        <v>19.2 MT</v>
      </c>
      <c r="L20" s="752"/>
    </row>
    <row r="21" spans="1:12" ht="12" customHeight="1">
      <c r="A21" s="531" t="s">
        <v>374</v>
      </c>
      <c r="B21" s="748" t="s">
        <v>373</v>
      </c>
      <c r="C21" s="749"/>
      <c r="D21" s="748" t="s">
        <v>372</v>
      </c>
      <c r="E21" s="750"/>
      <c r="F21" s="750"/>
      <c r="G21" s="749"/>
      <c r="H21" s="748" t="s">
        <v>371</v>
      </c>
      <c r="I21" s="750"/>
      <c r="J21" s="750"/>
      <c r="K21" s="750"/>
      <c r="L21" s="749"/>
    </row>
    <row r="22" spans="1:12" ht="12" customHeight="1">
      <c r="A22" s="747"/>
      <c r="B22" s="751" t="str">
        <f>Staffing!G22</f>
        <v>MSDU121638/1</v>
      </c>
      <c r="C22" s="752"/>
      <c r="D22" s="751" t="str">
        <f>Staffing!H22</f>
        <v>EU27646310</v>
      </c>
      <c r="E22" s="753"/>
      <c r="F22" s="753"/>
      <c r="G22" s="752"/>
      <c r="H22" s="744">
        <f>IF(B22="","",'Contract-SI-LC'!$K$25/Contract!$D$34)</f>
        <v>0</v>
      </c>
      <c r="I22" s="745"/>
      <c r="J22" s="745"/>
      <c r="K22" s="745"/>
      <c r="L22" s="746"/>
    </row>
    <row r="23" spans="1:12" ht="12" customHeight="1">
      <c r="A23" s="747"/>
      <c r="B23" s="751" t="str">
        <f>Staffing!G23</f>
        <v/>
      </c>
      <c r="C23" s="752"/>
      <c r="D23" s="751" t="str">
        <f>Staffing!H23</f>
        <v>-</v>
      </c>
      <c r="E23" s="753"/>
      <c r="F23" s="753"/>
      <c r="G23" s="752"/>
      <c r="H23" s="744" t="str">
        <f>IF(B23="","",'Contract-SI-LC'!$K$25/Contract!$D$34)</f>
        <v/>
      </c>
      <c r="I23" s="745"/>
      <c r="J23" s="745"/>
      <c r="K23" s="745"/>
      <c r="L23" s="746"/>
    </row>
    <row r="24" spans="1:12" ht="12" customHeight="1">
      <c r="A24" s="747"/>
      <c r="B24" s="751" t="str">
        <f>Staffing!G24</f>
        <v/>
      </c>
      <c r="C24" s="752"/>
      <c r="D24" s="751" t="str">
        <f>Staffing!H24</f>
        <v>-</v>
      </c>
      <c r="E24" s="753"/>
      <c r="F24" s="753"/>
      <c r="G24" s="752"/>
      <c r="H24" s="744" t="str">
        <f>IF(B24="","",'Contract-SI-LC'!$K$25/Contract!$D$34)</f>
        <v/>
      </c>
      <c r="I24" s="745"/>
      <c r="J24" s="745"/>
      <c r="K24" s="745"/>
      <c r="L24" s="746"/>
    </row>
    <row r="25" spans="1:12" ht="12" customHeight="1">
      <c r="A25" s="747"/>
      <c r="B25" s="751" t="str">
        <f>Staffing!G25</f>
        <v/>
      </c>
      <c r="C25" s="752"/>
      <c r="D25" s="751" t="str">
        <f>Staffing!H25</f>
        <v>-</v>
      </c>
      <c r="E25" s="753"/>
      <c r="F25" s="753"/>
      <c r="G25" s="752"/>
      <c r="H25" s="744" t="str">
        <f>IF(B25="","",'Contract-SI-LC'!$K$25/Contract!$D$34)</f>
        <v/>
      </c>
      <c r="I25" s="745"/>
      <c r="J25" s="745"/>
      <c r="K25" s="745"/>
      <c r="L25" s="746"/>
    </row>
    <row r="26" spans="1:12" ht="12" customHeight="1">
      <c r="A26" s="747"/>
      <c r="B26" s="751" t="str">
        <f>Staffing!G26</f>
        <v/>
      </c>
      <c r="C26" s="752"/>
      <c r="D26" s="751" t="str">
        <f>Staffing!H26</f>
        <v>-</v>
      </c>
      <c r="E26" s="753"/>
      <c r="F26" s="753"/>
      <c r="G26" s="752"/>
      <c r="H26" s="744" t="str">
        <f>IF(B26="","",'Contract-SI-LC'!$K$25/Contract!$D$34)</f>
        <v/>
      </c>
      <c r="I26" s="745"/>
      <c r="J26" s="745"/>
      <c r="K26" s="745"/>
      <c r="L26" s="746"/>
    </row>
    <row r="27" spans="1:12" ht="12" customHeight="1">
      <c r="A27" s="747"/>
      <c r="B27" s="751" t="str">
        <f>Staffing!G27</f>
        <v/>
      </c>
      <c r="C27" s="752"/>
      <c r="D27" s="751" t="str">
        <f>Staffing!H27</f>
        <v>-</v>
      </c>
      <c r="E27" s="753"/>
      <c r="F27" s="753"/>
      <c r="G27" s="752"/>
      <c r="H27" s="744" t="str">
        <f>IF(B27="","",'Contract-SI-LC'!$K$25/Contract!$D$34)</f>
        <v/>
      </c>
      <c r="I27" s="745"/>
      <c r="J27" s="745"/>
      <c r="K27" s="745"/>
      <c r="L27" s="746"/>
    </row>
    <row r="28" spans="1:12" ht="12" customHeight="1">
      <c r="A28" s="747"/>
      <c r="B28" s="751" t="str">
        <f>Staffing!G28</f>
        <v/>
      </c>
      <c r="C28" s="752"/>
      <c r="D28" s="751" t="str">
        <f>Staffing!H28</f>
        <v>-</v>
      </c>
      <c r="E28" s="753"/>
      <c r="F28" s="753"/>
      <c r="G28" s="752"/>
      <c r="H28" s="744" t="str">
        <f>IF(B28="","",'Contract-SI-LC'!$K$25/Contract!$D$34)</f>
        <v/>
      </c>
      <c r="I28" s="745"/>
      <c r="J28" s="745"/>
      <c r="K28" s="745"/>
      <c r="L28" s="746"/>
    </row>
    <row r="29" spans="1:12" ht="12" customHeight="1">
      <c r="A29" s="747"/>
      <c r="B29" s="751" t="str">
        <f>Staffing!G29</f>
        <v/>
      </c>
      <c r="C29" s="752"/>
      <c r="D29" s="751" t="str">
        <f>Staffing!H29</f>
        <v>-</v>
      </c>
      <c r="E29" s="753"/>
      <c r="F29" s="753"/>
      <c r="G29" s="752"/>
      <c r="H29" s="744" t="str">
        <f>IF(B29="","",'Contract-SI-LC'!$K$25/Contract!$D$34)</f>
        <v/>
      </c>
      <c r="I29" s="745"/>
      <c r="J29" s="745"/>
      <c r="K29" s="745"/>
      <c r="L29" s="746"/>
    </row>
    <row r="30" spans="1:12" ht="12" customHeight="1">
      <c r="A30" s="747"/>
      <c r="B30" s="751" t="str">
        <f>Staffing!G30</f>
        <v/>
      </c>
      <c r="C30" s="752"/>
      <c r="D30" s="751" t="str">
        <f>Staffing!H30</f>
        <v>-</v>
      </c>
      <c r="E30" s="753"/>
      <c r="F30" s="753"/>
      <c r="G30" s="752"/>
      <c r="H30" s="744" t="str">
        <f>IF(B30="","",'Contract-SI-LC'!$K$25/Contract!$D$34)</f>
        <v/>
      </c>
      <c r="I30" s="745"/>
      <c r="J30" s="745"/>
      <c r="K30" s="745"/>
      <c r="L30" s="746"/>
    </row>
    <row r="31" spans="1:12" ht="12" customHeight="1">
      <c r="A31" s="747"/>
      <c r="B31" s="751" t="str">
        <f>Staffing!G31</f>
        <v/>
      </c>
      <c r="C31" s="752"/>
      <c r="D31" s="751" t="str">
        <f>Staffing!H31</f>
        <v>-</v>
      </c>
      <c r="E31" s="753"/>
      <c r="F31" s="753"/>
      <c r="G31" s="752"/>
      <c r="H31" s="744" t="str">
        <f>IF(B31="","",'Contract-SI-LC'!$K$25/Contract!$D$34)</f>
        <v/>
      </c>
      <c r="I31" s="745"/>
      <c r="J31" s="745"/>
      <c r="K31" s="745"/>
      <c r="L31" s="746"/>
    </row>
    <row r="32" spans="1:12" ht="12" customHeight="1">
      <c r="A32" s="747"/>
      <c r="B32" s="751" t="s">
        <v>370</v>
      </c>
      <c r="C32" s="753"/>
      <c r="D32" s="753"/>
      <c r="E32" s="753"/>
      <c r="F32" s="753"/>
      <c r="G32" s="752"/>
      <c r="H32" s="744">
        <f>SUM(H22:L31)</f>
        <v>0</v>
      </c>
      <c r="I32" s="745"/>
      <c r="J32" s="745"/>
      <c r="K32" s="745"/>
      <c r="L32" s="746"/>
    </row>
    <row r="33" spans="1:12" ht="17.399999999999999" customHeight="1">
      <c r="A33" s="306" t="s">
        <v>429</v>
      </c>
      <c r="B33" s="538"/>
      <c r="C33" s="538"/>
      <c r="D33" s="538"/>
      <c r="E33" s="538"/>
      <c r="F33" s="538"/>
      <c r="G33" s="538"/>
      <c r="H33" s="538"/>
      <c r="I33" s="538"/>
      <c r="J33" s="538"/>
      <c r="K33" s="538"/>
      <c r="L33" s="539"/>
    </row>
    <row r="34" spans="1:12" ht="14.1" customHeight="1">
      <c r="A34" s="307" t="s">
        <v>430</v>
      </c>
      <c r="B34" s="538" t="str">
        <f>Processing!D6</f>
        <v>GUNA TRADING COFFEE PROCESSING</v>
      </c>
      <c r="C34" s="538"/>
      <c r="D34" s="538"/>
      <c r="E34" s="538"/>
      <c r="F34" s="538"/>
      <c r="G34" s="538"/>
      <c r="H34" s="538"/>
      <c r="I34" s="538"/>
      <c r="J34" s="538"/>
      <c r="K34" s="538"/>
      <c r="L34" s="539"/>
    </row>
    <row r="35" spans="1:12" ht="14.1" customHeight="1">
      <c r="A35" s="305" t="s">
        <v>431</v>
      </c>
      <c r="B35" s="538" t="str">
        <f>Processing!D9</f>
        <v>ADDIS ABABA - ETHIOPIA</v>
      </c>
      <c r="C35" s="538"/>
      <c r="D35" s="538"/>
      <c r="E35" s="538"/>
      <c r="F35" s="538"/>
      <c r="G35" s="538"/>
      <c r="H35" s="538"/>
      <c r="I35" s="538"/>
      <c r="J35" s="538"/>
      <c r="K35" s="538"/>
      <c r="L35" s="539"/>
    </row>
    <row r="36" spans="1:12" ht="14.1" customHeight="1"/>
    <row r="37" spans="1:12" ht="14.1" customHeight="1">
      <c r="A37" s="209"/>
    </row>
    <row r="38" spans="1:12" ht="14.1" customHeight="1"/>
    <row r="39" spans="1:12" ht="12.9" customHeight="1">
      <c r="A39" s="208"/>
    </row>
    <row r="40" spans="1:12" ht="12.9" customHeight="1">
      <c r="A40" s="208"/>
    </row>
    <row r="41" spans="1:12" ht="15" customHeight="1">
      <c r="A41" s="207"/>
    </row>
    <row r="42" spans="1:12" ht="15" customHeight="1">
      <c r="A42" s="202"/>
    </row>
  </sheetData>
  <mergeCells count="64">
    <mergeCell ref="B33:L33"/>
    <mergeCell ref="B34:L34"/>
    <mergeCell ref="B35:L35"/>
    <mergeCell ref="H24:L24"/>
    <mergeCell ref="H25:L25"/>
    <mergeCell ref="H26:L26"/>
    <mergeCell ref="H27:L27"/>
    <mergeCell ref="H28:L28"/>
    <mergeCell ref="D24:G24"/>
    <mergeCell ref="D25:G25"/>
    <mergeCell ref="D26:G26"/>
    <mergeCell ref="D27:G27"/>
    <mergeCell ref="B26:C26"/>
    <mergeCell ref="B27:C27"/>
    <mergeCell ref="B28:C28"/>
    <mergeCell ref="B32:G32"/>
    <mergeCell ref="B13:E13"/>
    <mergeCell ref="F13:H13"/>
    <mergeCell ref="I13:L13"/>
    <mergeCell ref="B14:E14"/>
    <mergeCell ref="F14:H14"/>
    <mergeCell ref="I14:L14"/>
    <mergeCell ref="B9:L9"/>
    <mergeCell ref="B10:L10"/>
    <mergeCell ref="B11:L11"/>
    <mergeCell ref="B12:D12"/>
    <mergeCell ref="E12:H12"/>
    <mergeCell ref="J12:L12"/>
    <mergeCell ref="F15:H15"/>
    <mergeCell ref="I15:L15"/>
    <mergeCell ref="B16:L16"/>
    <mergeCell ref="C17:F17"/>
    <mergeCell ref="H17:I17"/>
    <mergeCell ref="J17:L17"/>
    <mergeCell ref="B15:E15"/>
    <mergeCell ref="B30:C30"/>
    <mergeCell ref="B18:L18"/>
    <mergeCell ref="B19:L19"/>
    <mergeCell ref="B20:C20"/>
    <mergeCell ref="D20:G20"/>
    <mergeCell ref="H20:J20"/>
    <mergeCell ref="K20:L20"/>
    <mergeCell ref="B29:C29"/>
    <mergeCell ref="D28:G28"/>
    <mergeCell ref="D29:G29"/>
    <mergeCell ref="H29:L29"/>
    <mergeCell ref="D30:G30"/>
    <mergeCell ref="H30:L30"/>
    <mergeCell ref="H32:L32"/>
    <mergeCell ref="A21:A32"/>
    <mergeCell ref="B21:C21"/>
    <mergeCell ref="D21:G21"/>
    <mergeCell ref="H21:L21"/>
    <mergeCell ref="B22:C22"/>
    <mergeCell ref="D22:G22"/>
    <mergeCell ref="H22:L22"/>
    <mergeCell ref="B31:C31"/>
    <mergeCell ref="D31:G31"/>
    <mergeCell ref="H31:L31"/>
    <mergeCell ref="B23:C23"/>
    <mergeCell ref="D23:G23"/>
    <mergeCell ref="H23:L23"/>
    <mergeCell ref="B24:C24"/>
    <mergeCell ref="B25:C25"/>
  </mergeCells>
  <hyperlinks>
    <hyperlink ref="I2" r:id="rId1" xr:uid="{B06D4050-AFBE-487E-B05B-32BF56B53695}"/>
  </hyperlinks>
  <pageMargins left="0.25" right="0.25" top="0.75" bottom="0.75" header="0.3" footer="0.3"/>
  <pageSetup scale="78" orientation="portrait" r:id="rId2"/>
  <headerFooter>
    <oddHeader>&amp;L&amp;G</oddHeader>
    <oddFooter>&amp;C&amp;G</oddFooter>
  </headerFooter>
  <legacyDrawingHF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A130E9-7AEE-407A-9F89-76D2EFD0E31A}">
  <sheetPr codeName="Sheet17">
    <pageSetUpPr fitToPage="1"/>
  </sheetPr>
  <dimension ref="C3:S64"/>
  <sheetViews>
    <sheetView view="pageBreakPreview" topLeftCell="A4" zoomScale="90" zoomScaleNormal="71" zoomScaleSheetLayoutView="90" workbookViewId="0">
      <selection activeCell="C20" sqref="C20:S20"/>
    </sheetView>
  </sheetViews>
  <sheetFormatPr defaultColWidth="9.33203125" defaultRowHeight="13.2"/>
  <cols>
    <col min="1" max="1" width="11.77734375" style="140" customWidth="1"/>
    <col min="2" max="2" width="3.33203125" style="140" customWidth="1"/>
    <col min="3" max="3" width="11.6640625" style="140" customWidth="1"/>
    <col min="4" max="4" width="17.33203125" style="140" customWidth="1"/>
    <col min="5" max="5" width="22.109375" style="140" customWidth="1"/>
    <col min="6" max="6" width="6.5546875" style="140" customWidth="1"/>
    <col min="7" max="7" width="2.109375" style="140" customWidth="1"/>
    <col min="8" max="8" width="6.77734375" style="140" customWidth="1"/>
    <col min="9" max="9" width="1.109375" style="140" customWidth="1"/>
    <col min="10" max="10" width="2.109375" style="140" customWidth="1"/>
    <col min="11" max="11" width="2.6640625" style="140" customWidth="1"/>
    <col min="12" max="12" width="6.109375" style="140" customWidth="1"/>
    <col min="13" max="13" width="3.33203125" style="140" customWidth="1"/>
    <col min="14" max="14" width="9.88671875" style="140" customWidth="1"/>
    <col min="15" max="15" width="3.88671875" style="140" customWidth="1"/>
    <col min="16" max="16" width="11.88671875" style="140" customWidth="1"/>
    <col min="17" max="17" width="3.33203125" style="140" customWidth="1"/>
    <col min="18" max="18" width="1.109375" style="140" customWidth="1"/>
    <col min="19" max="19" width="14" style="140" customWidth="1"/>
    <col min="20" max="20" width="10.44140625" style="140" customWidth="1"/>
    <col min="21" max="16384" width="9.33203125" style="140"/>
  </cols>
  <sheetData>
    <row r="3" spans="3:19" ht="19.8" customHeight="1"/>
    <row r="4" spans="3:19" ht="19.8" customHeight="1"/>
    <row r="5" spans="3:19" ht="15.9" customHeight="1" thickBot="1">
      <c r="C5" s="202"/>
    </row>
    <row r="6" spans="3:19" ht="15.9" customHeight="1">
      <c r="C6" s="547" t="s">
        <v>506</v>
      </c>
      <c r="D6" s="548"/>
      <c r="E6" s="548"/>
      <c r="F6" s="548"/>
      <c r="G6" s="548"/>
      <c r="H6" s="548"/>
      <c r="I6" s="548"/>
      <c r="J6" s="548"/>
      <c r="K6" s="548"/>
      <c r="L6" s="548"/>
      <c r="M6" s="548"/>
      <c r="N6" s="548"/>
      <c r="O6" s="548"/>
      <c r="P6" s="548"/>
      <c r="Q6" s="548"/>
      <c r="R6" s="548"/>
      <c r="S6" s="549"/>
    </row>
    <row r="7" spans="3:19" ht="15.9" customHeight="1">
      <c r="C7" s="550" t="s">
        <v>459</v>
      </c>
      <c r="D7" s="551"/>
      <c r="E7" s="551"/>
      <c r="F7" s="551"/>
      <c r="G7" s="551"/>
      <c r="H7" s="551"/>
      <c r="I7" s="551"/>
      <c r="J7" s="551"/>
      <c r="K7" s="551"/>
      <c r="L7" s="551"/>
      <c r="M7" s="551"/>
      <c r="N7" s="551"/>
      <c r="O7" s="551"/>
      <c r="P7" s="551"/>
      <c r="Q7" s="551"/>
      <c r="R7" s="552"/>
      <c r="S7" s="329" t="s">
        <v>460</v>
      </c>
    </row>
    <row r="8" spans="3:19" ht="14.1" customHeight="1">
      <c r="C8" s="553" t="s">
        <v>461</v>
      </c>
      <c r="D8" s="554"/>
      <c r="E8" s="555"/>
      <c r="F8" s="555"/>
      <c r="G8" s="555"/>
      <c r="H8" s="556"/>
      <c r="I8" s="557" t="s">
        <v>462</v>
      </c>
      <c r="J8" s="554"/>
      <c r="K8" s="554"/>
      <c r="L8" s="554"/>
      <c r="M8" s="554"/>
      <c r="N8" s="554"/>
      <c r="O8" s="555">
        <f>Contract!C5</f>
        <v>0</v>
      </c>
      <c r="P8" s="555"/>
      <c r="Q8" s="555"/>
      <c r="R8" s="555"/>
      <c r="S8" s="558"/>
    </row>
    <row r="9" spans="3:19" ht="14.1" customHeight="1">
      <c r="C9" s="553" t="s">
        <v>463</v>
      </c>
      <c r="D9" s="554"/>
      <c r="E9" s="555"/>
      <c r="F9" s="555"/>
      <c r="G9" s="555"/>
      <c r="H9" s="556"/>
      <c r="I9" s="557" t="s">
        <v>464</v>
      </c>
      <c r="J9" s="554"/>
      <c r="K9" s="554"/>
      <c r="L9" s="554"/>
      <c r="M9" s="554"/>
      <c r="N9" s="554"/>
      <c r="O9" s="564">
        <f>Contract!C7</f>
        <v>0</v>
      </c>
      <c r="P9" s="555"/>
      <c r="Q9" s="555"/>
      <c r="R9" s="555"/>
      <c r="S9" s="558"/>
    </row>
    <row r="10" spans="3:19" ht="16.8" customHeight="1">
      <c r="C10" s="559" t="s">
        <v>465</v>
      </c>
      <c r="D10" s="560"/>
      <c r="E10" s="560"/>
      <c r="F10" s="560"/>
      <c r="G10" s="560"/>
      <c r="H10" s="565"/>
      <c r="I10" s="566" t="s">
        <v>466</v>
      </c>
      <c r="J10" s="567"/>
      <c r="K10" s="567"/>
      <c r="L10" s="567"/>
      <c r="M10" s="567"/>
      <c r="N10" s="567"/>
      <c r="O10" s="567"/>
      <c r="P10" s="567"/>
      <c r="Q10" s="567"/>
      <c r="R10" s="567"/>
      <c r="S10" s="568"/>
    </row>
    <row r="11" spans="3:19" ht="16.8" customHeight="1">
      <c r="C11" s="569" t="str">
        <f>_xlfn.CONCAT('Form Configuration'!B1:D1,",",'Form Configuration'!B2:D2)</f>
        <v>PRAXIS  INTERNATIONAL BUSINESS PLC,NIFAS SILK LAFTO SUB CITY, WOREDA 
08, HOUSE NO 1986, ADDIS ABABA, ETHIOPIA.</v>
      </c>
      <c r="D11" s="570"/>
      <c r="E11" s="570"/>
      <c r="F11" s="570"/>
      <c r="G11" s="570"/>
      <c r="H11" s="571"/>
      <c r="I11" s="573" t="str">
        <f>IF('Bank &amp; LC'!H5=0,"",'Bank &amp; LC'!H5)</f>
        <v/>
      </c>
      <c r="J11" s="574"/>
      <c r="K11" s="574"/>
      <c r="L11" s="574"/>
      <c r="M11" s="574"/>
      <c r="N11" s="574"/>
      <c r="O11" s="574"/>
      <c r="P11" s="574"/>
      <c r="Q11" s="574"/>
      <c r="R11" s="574"/>
      <c r="S11" s="575"/>
    </row>
    <row r="12" spans="3:19" ht="21.6" customHeight="1">
      <c r="C12" s="569"/>
      <c r="D12" s="570"/>
      <c r="E12" s="570"/>
      <c r="F12" s="570"/>
      <c r="G12" s="570"/>
      <c r="H12" s="571"/>
      <c r="I12" s="566" t="s">
        <v>467</v>
      </c>
      <c r="J12" s="538"/>
      <c r="K12" s="538"/>
      <c r="L12" s="538"/>
      <c r="M12" s="538"/>
      <c r="N12" s="538"/>
      <c r="O12" s="538"/>
      <c r="P12" s="538"/>
      <c r="Q12" s="538"/>
      <c r="R12" s="538"/>
      <c r="S12" s="576"/>
    </row>
    <row r="13" spans="3:19" ht="17.399999999999999" customHeight="1">
      <c r="C13" s="781" t="s">
        <v>541</v>
      </c>
      <c r="D13" s="782"/>
      <c r="E13" s="782"/>
      <c r="F13" s="782"/>
      <c r="G13" s="782"/>
      <c r="H13" s="782"/>
      <c r="I13" s="578" t="str">
        <f>IF(Bookings!B43=0,"",Bookings!B43)</f>
        <v/>
      </c>
      <c r="J13" s="578"/>
      <c r="K13" s="578"/>
      <c r="L13" s="578"/>
      <c r="M13" s="783"/>
      <c r="N13" s="783"/>
      <c r="O13" s="783"/>
      <c r="P13" s="578"/>
      <c r="Q13" s="783"/>
      <c r="R13" s="783"/>
      <c r="S13" s="784"/>
    </row>
    <row r="14" spans="3:19" ht="18" customHeight="1">
      <c r="C14" s="569" t="str">
        <f>'Contract-SI-LC'!K30</f>
        <v>-</v>
      </c>
      <c r="D14" s="570"/>
      <c r="E14" s="570"/>
      <c r="F14" s="570"/>
      <c r="G14" s="570"/>
      <c r="H14" s="571"/>
      <c r="I14" s="566" t="s">
        <v>128</v>
      </c>
      <c r="J14" s="567"/>
      <c r="K14" s="567"/>
      <c r="L14" s="567"/>
      <c r="M14" s="797" t="str">
        <f>IF(Bookings!C5=0,"",Bookings!C5)</f>
        <v/>
      </c>
      <c r="N14" s="797"/>
      <c r="O14" s="797"/>
      <c r="P14" s="342" t="s">
        <v>147</v>
      </c>
      <c r="Q14" s="806" t="str">
        <f>IF(Bookings!C6=0,"",Bookings!C6)</f>
        <v/>
      </c>
      <c r="R14" s="806"/>
      <c r="S14" s="807"/>
    </row>
    <row r="15" spans="3:19" ht="18" customHeight="1">
      <c r="C15" s="569"/>
      <c r="D15" s="570"/>
      <c r="E15" s="570"/>
      <c r="F15" s="570"/>
      <c r="G15" s="570"/>
      <c r="H15" s="571"/>
      <c r="I15" s="566" t="s">
        <v>524</v>
      </c>
      <c r="J15" s="567"/>
      <c r="K15" s="567"/>
      <c r="L15" s="567"/>
      <c r="M15" s="802"/>
      <c r="N15" s="808"/>
      <c r="O15" s="809" t="str">
        <f>IF(Bookings!C7=0,"",Bookings!C7)</f>
        <v/>
      </c>
      <c r="P15" s="810"/>
      <c r="Q15" s="810"/>
      <c r="R15" s="810"/>
      <c r="S15" s="811"/>
    </row>
    <row r="16" spans="3:19" ht="19.2" customHeight="1">
      <c r="C16" s="781" t="s">
        <v>359</v>
      </c>
      <c r="D16" s="782"/>
      <c r="E16" s="782"/>
      <c r="F16" s="782"/>
      <c r="G16" s="782"/>
      <c r="H16" s="782"/>
      <c r="I16" s="567" t="s">
        <v>470</v>
      </c>
      <c r="J16" s="554"/>
      <c r="K16" s="554"/>
      <c r="L16" s="554"/>
      <c r="M16" s="554"/>
      <c r="N16" s="794" t="s">
        <v>528</v>
      </c>
      <c r="O16" s="795"/>
      <c r="P16" s="795"/>
      <c r="Q16" s="795"/>
      <c r="R16" s="795"/>
      <c r="S16" s="796"/>
    </row>
    <row r="17" spans="3:19" ht="17.399999999999999" customHeight="1">
      <c r="C17" s="785" t="str">
        <f>'Contract-SI-LC'!K29</f>
        <v>-</v>
      </c>
      <c r="D17" s="542"/>
      <c r="E17" s="542"/>
      <c r="F17" s="542"/>
      <c r="G17" s="542"/>
      <c r="H17" s="542"/>
      <c r="I17" s="567" t="s">
        <v>525</v>
      </c>
      <c r="J17" s="567"/>
      <c r="K17" s="567"/>
      <c r="L17" s="567"/>
      <c r="M17" s="567"/>
      <c r="N17" s="802"/>
      <c r="O17" s="802"/>
      <c r="P17" s="802"/>
      <c r="Q17" s="802"/>
      <c r="R17" s="802"/>
      <c r="S17" s="803"/>
    </row>
    <row r="18" spans="3:19" ht="21.6" customHeight="1">
      <c r="C18" s="785"/>
      <c r="D18" s="542"/>
      <c r="E18" s="542"/>
      <c r="F18" s="542"/>
      <c r="G18" s="542"/>
      <c r="H18" s="542"/>
      <c r="I18" s="804" t="s">
        <v>472</v>
      </c>
      <c r="J18" s="613"/>
      <c r="K18" s="613"/>
      <c r="L18" s="613"/>
      <c r="M18" s="613"/>
      <c r="N18" s="613"/>
      <c r="O18" s="613"/>
      <c r="P18" s="613"/>
      <c r="Q18" s="613"/>
      <c r="R18" s="613"/>
      <c r="S18" s="805"/>
    </row>
    <row r="19" spans="3:19" ht="19.8" customHeight="1">
      <c r="C19" s="786" t="s">
        <v>507</v>
      </c>
      <c r="D19" s="529"/>
      <c r="E19" s="529"/>
      <c r="F19" s="529"/>
      <c r="G19" s="529"/>
      <c r="H19" s="529"/>
      <c r="I19" s="538"/>
      <c r="J19" s="538"/>
      <c r="K19" s="538"/>
      <c r="L19" s="538"/>
      <c r="M19" s="538"/>
      <c r="N19" s="538"/>
      <c r="O19" s="538"/>
      <c r="P19" s="538"/>
      <c r="Q19" s="538"/>
      <c r="R19" s="538"/>
      <c r="S19" s="576"/>
    </row>
    <row r="20" spans="3:19" ht="46.2" customHeight="1">
      <c r="C20" s="787">
        <f>'Contract-SI-LC'!K28</f>
        <v>0</v>
      </c>
      <c r="D20" s="538"/>
      <c r="E20" s="538"/>
      <c r="F20" s="538"/>
      <c r="G20" s="538"/>
      <c r="H20" s="538"/>
      <c r="I20" s="538"/>
      <c r="J20" s="538"/>
      <c r="K20" s="538"/>
      <c r="L20" s="538"/>
      <c r="M20" s="538"/>
      <c r="N20" s="538"/>
      <c r="O20" s="538"/>
      <c r="P20" s="538"/>
      <c r="Q20" s="538"/>
      <c r="R20" s="538"/>
      <c r="S20" s="576"/>
    </row>
    <row r="21" spans="3:19" ht="15.6" customHeight="1">
      <c r="C21" s="340" t="s">
        <v>508</v>
      </c>
      <c r="D21" s="327" t="str">
        <f>'Form Configuration'!D16</f>
        <v>09011100</v>
      </c>
      <c r="E21" s="344"/>
      <c r="F21" s="344"/>
      <c r="G21" s="344"/>
      <c r="H21" s="344"/>
      <c r="I21" s="344"/>
      <c r="J21" s="344"/>
      <c r="K21" s="344"/>
      <c r="L21" s="344"/>
      <c r="M21" s="344"/>
      <c r="N21" s="344"/>
      <c r="O21" s="344"/>
      <c r="P21" s="344"/>
      <c r="Q21" s="344"/>
      <c r="R21" s="344"/>
      <c r="S21" s="345"/>
    </row>
    <row r="22" spans="3:19" ht="15" customHeight="1">
      <c r="C22" s="553" t="s">
        <v>509</v>
      </c>
      <c r="D22" s="554"/>
      <c r="E22" s="560" t="s">
        <v>526</v>
      </c>
      <c r="F22" s="788"/>
      <c r="G22" s="789" t="s">
        <v>527</v>
      </c>
      <c r="H22" s="790"/>
      <c r="I22" s="790"/>
      <c r="J22" s="790"/>
      <c r="K22" s="791"/>
      <c r="L22" s="557" t="s">
        <v>510</v>
      </c>
      <c r="M22" s="554"/>
      <c r="N22" s="554"/>
      <c r="O22" s="792"/>
      <c r="P22" s="557" t="s">
        <v>511</v>
      </c>
      <c r="Q22" s="554"/>
      <c r="R22" s="554"/>
      <c r="S22" s="793"/>
    </row>
    <row r="23" spans="3:19" ht="14.1" customHeight="1">
      <c r="C23" s="779" t="str">
        <f>Staffing!G22</f>
        <v>MSDU121638/1</v>
      </c>
      <c r="D23" s="555"/>
      <c r="E23" s="780" t="str">
        <f>Staffing!H22</f>
        <v>EU27646310</v>
      </c>
      <c r="F23" s="780"/>
      <c r="G23" s="555">
        <f>IF(C23="","",'Contract-SI-LC'!$K$25/Contract!$D$34)</f>
        <v>0</v>
      </c>
      <c r="H23" s="555"/>
      <c r="I23" s="555"/>
      <c r="J23" s="555"/>
      <c r="K23" s="556"/>
      <c r="L23" s="798">
        <f>IF(C23="","",Contract!D$26/Contract!D$34)</f>
        <v>19200</v>
      </c>
      <c r="M23" s="799"/>
      <c r="N23" s="799"/>
      <c r="O23" s="800"/>
      <c r="P23" s="798">
        <f>IF(C23="","",Contract!H$26/Contract!D$34)</f>
        <v>19440</v>
      </c>
      <c r="Q23" s="799"/>
      <c r="R23" s="799"/>
      <c r="S23" s="801"/>
    </row>
    <row r="24" spans="3:19" ht="14.1" hidden="1" customHeight="1">
      <c r="C24" s="779" t="str">
        <f>Staffing!G23</f>
        <v/>
      </c>
      <c r="D24" s="555"/>
      <c r="E24" s="780" t="str">
        <f>Staffing!H23</f>
        <v>-</v>
      </c>
      <c r="F24" s="780"/>
      <c r="G24" s="555" t="str">
        <f>IF(C24="","",'Contract-SI-LC'!$K$25/Contract!$D$34)</f>
        <v/>
      </c>
      <c r="H24" s="555"/>
      <c r="I24" s="555"/>
      <c r="J24" s="555"/>
      <c r="K24" s="556"/>
      <c r="L24" s="798" t="str">
        <f>IF(C24="","",Contract!D$26/Contract!D$34)</f>
        <v/>
      </c>
      <c r="M24" s="799"/>
      <c r="N24" s="799"/>
      <c r="O24" s="800"/>
      <c r="P24" s="798" t="str">
        <f>IF(C24="","",Contract!H$26/Contract!D$34)</f>
        <v/>
      </c>
      <c r="Q24" s="799"/>
      <c r="R24" s="799"/>
      <c r="S24" s="801"/>
    </row>
    <row r="25" spans="3:19" ht="14.1" hidden="1" customHeight="1">
      <c r="C25" s="779" t="str">
        <f>Staffing!G24</f>
        <v/>
      </c>
      <c r="D25" s="555"/>
      <c r="E25" s="780" t="str">
        <f>Staffing!H24</f>
        <v>-</v>
      </c>
      <c r="F25" s="780"/>
      <c r="G25" s="555" t="str">
        <f>IF(C25="","",'Contract-SI-LC'!$K$25/Contract!$D$34)</f>
        <v/>
      </c>
      <c r="H25" s="555"/>
      <c r="I25" s="555"/>
      <c r="J25" s="555"/>
      <c r="K25" s="556"/>
      <c r="L25" s="798" t="str">
        <f>IF(C25="","",Contract!D$26/Contract!D$34)</f>
        <v/>
      </c>
      <c r="M25" s="799"/>
      <c r="N25" s="799"/>
      <c r="O25" s="800"/>
      <c r="P25" s="798" t="str">
        <f>IF(C25="","",Contract!H$26/Contract!D$34)</f>
        <v/>
      </c>
      <c r="Q25" s="799"/>
      <c r="R25" s="799"/>
      <c r="S25" s="801"/>
    </row>
    <row r="26" spans="3:19" ht="14.1" hidden="1" customHeight="1">
      <c r="C26" s="779" t="str">
        <f>Staffing!G25</f>
        <v/>
      </c>
      <c r="D26" s="555"/>
      <c r="E26" s="780" t="str">
        <f>Staffing!H25</f>
        <v>-</v>
      </c>
      <c r="F26" s="780"/>
      <c r="G26" s="555" t="str">
        <f>IF(C26="","",'Contract-SI-LC'!$K$25/Contract!$D$34)</f>
        <v/>
      </c>
      <c r="H26" s="555"/>
      <c r="I26" s="555"/>
      <c r="J26" s="555"/>
      <c r="K26" s="556"/>
      <c r="L26" s="798" t="str">
        <f>IF(C26="","",Contract!D$26/Contract!D$34)</f>
        <v/>
      </c>
      <c r="M26" s="799"/>
      <c r="N26" s="799"/>
      <c r="O26" s="800"/>
      <c r="P26" s="798" t="str">
        <f>IF(C26="","",Contract!H$26/Contract!D$34)</f>
        <v/>
      </c>
      <c r="Q26" s="799"/>
      <c r="R26" s="799"/>
      <c r="S26" s="801"/>
    </row>
    <row r="27" spans="3:19" ht="14.1" hidden="1" customHeight="1">
      <c r="C27" s="779" t="str">
        <f>Staffing!G26</f>
        <v/>
      </c>
      <c r="D27" s="555"/>
      <c r="E27" s="780" t="str">
        <f>Staffing!H26</f>
        <v>-</v>
      </c>
      <c r="F27" s="780"/>
      <c r="G27" s="555" t="str">
        <f>IF(C27="","",'Contract-SI-LC'!$K$25/Contract!$D$34)</f>
        <v/>
      </c>
      <c r="H27" s="555"/>
      <c r="I27" s="555"/>
      <c r="J27" s="555"/>
      <c r="K27" s="556"/>
      <c r="L27" s="798" t="str">
        <f>IF(C27="","",Contract!D$26/Contract!D$34)</f>
        <v/>
      </c>
      <c r="M27" s="799"/>
      <c r="N27" s="799"/>
      <c r="O27" s="800"/>
      <c r="P27" s="798" t="str">
        <f>IF(C27="","",Contract!H$26/Contract!D$34)</f>
        <v/>
      </c>
      <c r="Q27" s="799"/>
      <c r="R27" s="799"/>
      <c r="S27" s="801"/>
    </row>
    <row r="28" spans="3:19" ht="14.1" hidden="1" customHeight="1">
      <c r="C28" s="779" t="str">
        <f>Staffing!G27</f>
        <v/>
      </c>
      <c r="D28" s="555"/>
      <c r="E28" s="780" t="str">
        <f>Staffing!H27</f>
        <v>-</v>
      </c>
      <c r="F28" s="780"/>
      <c r="G28" s="555" t="str">
        <f>IF(C28="","",'Contract-SI-LC'!$K$25/Contract!$D$34)</f>
        <v/>
      </c>
      <c r="H28" s="555"/>
      <c r="I28" s="555"/>
      <c r="J28" s="555"/>
      <c r="K28" s="556"/>
      <c r="L28" s="798" t="str">
        <f>IF(C28="","",Contract!D$26/Contract!D$34)</f>
        <v/>
      </c>
      <c r="M28" s="799"/>
      <c r="N28" s="799"/>
      <c r="O28" s="800"/>
      <c r="P28" s="798" t="str">
        <f>IF(C28="","",Contract!H$26/Contract!D$34)</f>
        <v/>
      </c>
      <c r="Q28" s="799"/>
      <c r="R28" s="799"/>
      <c r="S28" s="801"/>
    </row>
    <row r="29" spans="3:19" ht="14.1" hidden="1" customHeight="1">
      <c r="C29" s="779" t="str">
        <f>Staffing!G28</f>
        <v/>
      </c>
      <c r="D29" s="555"/>
      <c r="E29" s="780" t="str">
        <f>Staffing!H28</f>
        <v>-</v>
      </c>
      <c r="F29" s="780"/>
      <c r="G29" s="555" t="str">
        <f>IF(C29="","",'Contract-SI-LC'!$K$25/Contract!$D$34)</f>
        <v/>
      </c>
      <c r="H29" s="555"/>
      <c r="I29" s="555"/>
      <c r="J29" s="555"/>
      <c r="K29" s="556"/>
      <c r="L29" s="798" t="str">
        <f>IF(C29="","",Contract!D$26/Contract!D$34)</f>
        <v/>
      </c>
      <c r="M29" s="799"/>
      <c r="N29" s="799"/>
      <c r="O29" s="800"/>
      <c r="P29" s="798" t="str">
        <f>IF(C29="","",Contract!H$26/Contract!D$34)</f>
        <v/>
      </c>
      <c r="Q29" s="799"/>
      <c r="R29" s="799"/>
      <c r="S29" s="801"/>
    </row>
    <row r="30" spans="3:19" ht="14.1" hidden="1" customHeight="1">
      <c r="C30" s="779" t="str">
        <f>Staffing!G29</f>
        <v/>
      </c>
      <c r="D30" s="555"/>
      <c r="E30" s="780" t="str">
        <f>Staffing!H29</f>
        <v>-</v>
      </c>
      <c r="F30" s="780"/>
      <c r="G30" s="555" t="str">
        <f>IF(C30="","",'Contract-SI-LC'!$K$25/Contract!$D$34)</f>
        <v/>
      </c>
      <c r="H30" s="555"/>
      <c r="I30" s="555"/>
      <c r="J30" s="555"/>
      <c r="K30" s="556"/>
      <c r="L30" s="798" t="str">
        <f>IF(C30="","",Contract!D$26/Contract!D$34)</f>
        <v/>
      </c>
      <c r="M30" s="799"/>
      <c r="N30" s="799"/>
      <c r="O30" s="800"/>
      <c r="P30" s="798" t="str">
        <f>IF(C30="","",Contract!H$26/Contract!D$34)</f>
        <v/>
      </c>
      <c r="Q30" s="799"/>
      <c r="R30" s="799"/>
      <c r="S30" s="801"/>
    </row>
    <row r="31" spans="3:19" ht="14.1" hidden="1" customHeight="1">
      <c r="C31" s="779" t="str">
        <f>Staffing!G30</f>
        <v/>
      </c>
      <c r="D31" s="555"/>
      <c r="E31" s="780" t="str">
        <f>Staffing!H30</f>
        <v>-</v>
      </c>
      <c r="F31" s="780"/>
      <c r="G31" s="555" t="str">
        <f>IF(C31="","",'Contract-SI-LC'!$K$25/Contract!$D$34)</f>
        <v/>
      </c>
      <c r="H31" s="555"/>
      <c r="I31" s="555"/>
      <c r="J31" s="555"/>
      <c r="K31" s="556"/>
      <c r="L31" s="798" t="str">
        <f>IF(C31="","",Contract!D$26/Contract!D$34)</f>
        <v/>
      </c>
      <c r="M31" s="799"/>
      <c r="N31" s="799"/>
      <c r="O31" s="800"/>
      <c r="P31" s="798" t="str">
        <f>IF(C31="","",Contract!H$26/Contract!D$34)</f>
        <v/>
      </c>
      <c r="Q31" s="799"/>
      <c r="R31" s="799"/>
      <c r="S31" s="801"/>
    </row>
    <row r="32" spans="3:19" ht="14.1" hidden="1" customHeight="1">
      <c r="C32" s="779" t="str">
        <f>Staffing!G31</f>
        <v/>
      </c>
      <c r="D32" s="555"/>
      <c r="E32" s="780" t="str">
        <f>Staffing!H31</f>
        <v>-</v>
      </c>
      <c r="F32" s="780"/>
      <c r="G32" s="555" t="str">
        <f>IF(C32="","",'Contract-SI-LC'!$K$25/Contract!$D$34)</f>
        <v/>
      </c>
      <c r="H32" s="555"/>
      <c r="I32" s="555"/>
      <c r="J32" s="555"/>
      <c r="K32" s="556"/>
      <c r="L32" s="798" t="str">
        <f>IF(C32="","",Contract!D$26/Contract!D$34)</f>
        <v/>
      </c>
      <c r="M32" s="799"/>
      <c r="N32" s="799"/>
      <c r="O32" s="800"/>
      <c r="P32" s="798" t="str">
        <f>IF(C32="","",Contract!H$26/Contract!D$34)</f>
        <v/>
      </c>
      <c r="Q32" s="799"/>
      <c r="R32" s="799"/>
      <c r="S32" s="801"/>
    </row>
    <row r="33" spans="3:19" ht="15" customHeight="1">
      <c r="C33" s="812" t="s">
        <v>530</v>
      </c>
      <c r="D33" s="613"/>
      <c r="E33" s="813"/>
      <c r="F33" s="814"/>
      <c r="G33" s="566">
        <f>SUM(G23:K32)</f>
        <v>0</v>
      </c>
      <c r="H33" s="554"/>
      <c r="I33" s="554"/>
      <c r="J33" s="554"/>
      <c r="K33" s="792"/>
      <c r="L33" s="815" t="str">
        <f>SUM(L23:O32) &amp;" KGS"</f>
        <v>19200 KGS</v>
      </c>
      <c r="M33" s="816"/>
      <c r="N33" s="816"/>
      <c r="O33" s="817"/>
      <c r="P33" s="815" t="str">
        <f>SUM(P23:S32) &amp; " KGS"</f>
        <v>19440 KGS</v>
      </c>
      <c r="Q33" s="816"/>
      <c r="R33" s="816"/>
      <c r="S33" s="818"/>
    </row>
    <row r="34" spans="3:19" ht="14.1" customHeight="1">
      <c r="C34" s="553" t="s">
        <v>489</v>
      </c>
      <c r="D34" s="554"/>
      <c r="E34" s="819" t="s">
        <v>512</v>
      </c>
      <c r="F34" s="819"/>
      <c r="G34" s="819"/>
      <c r="H34" s="819"/>
      <c r="I34" s="819"/>
      <c r="J34" s="820"/>
      <c r="K34" s="525" t="s">
        <v>513</v>
      </c>
      <c r="L34" s="526"/>
      <c r="M34" s="526"/>
      <c r="N34" s="526"/>
      <c r="O34" s="526"/>
      <c r="P34" s="526"/>
      <c r="Q34" s="526"/>
      <c r="R34" s="526"/>
      <c r="S34" s="581"/>
    </row>
    <row r="35" spans="3:19" ht="14.1" customHeight="1">
      <c r="C35" s="553" t="s">
        <v>491</v>
      </c>
      <c r="D35" s="554"/>
      <c r="E35" s="555">
        <f>'Contract-SI-LC'!K24</f>
        <v>0</v>
      </c>
      <c r="F35" s="555"/>
      <c r="G35" s="555"/>
      <c r="H35" s="555"/>
      <c r="I35" s="555"/>
      <c r="J35" s="556"/>
      <c r="K35" s="528"/>
      <c r="L35" s="529"/>
      <c r="M35" s="529"/>
      <c r="N35" s="529"/>
      <c r="O35" s="529"/>
      <c r="P35" s="529"/>
      <c r="Q35" s="529"/>
      <c r="R35" s="529"/>
      <c r="S35" s="678"/>
    </row>
    <row r="36" spans="3:19" ht="14.1" customHeight="1">
      <c r="C36" s="553" t="s">
        <v>493</v>
      </c>
      <c r="D36" s="554"/>
      <c r="E36" s="555">
        <f>'Contract-SI-LC'!K20</f>
        <v>0</v>
      </c>
      <c r="F36" s="555"/>
      <c r="G36" s="555"/>
      <c r="H36" s="555"/>
      <c r="I36" s="555"/>
      <c r="J36" s="556"/>
      <c r="K36" s="580" t="s">
        <v>558</v>
      </c>
      <c r="L36" s="560"/>
      <c r="M36" s="560"/>
      <c r="N36" s="560"/>
      <c r="O36" s="560"/>
      <c r="P36" s="560"/>
      <c r="Q36" s="560"/>
      <c r="R36" s="560"/>
      <c r="S36" s="667"/>
    </row>
    <row r="37" spans="3:19" ht="14.1" customHeight="1">
      <c r="C37" s="553" t="s">
        <v>495</v>
      </c>
      <c r="D37" s="554"/>
      <c r="E37" s="819">
        <f>'Contract-SI-LC'!K20</f>
        <v>0</v>
      </c>
      <c r="F37" s="819"/>
      <c r="G37" s="819"/>
      <c r="H37" s="819"/>
      <c r="I37" s="819"/>
      <c r="J37" s="820"/>
      <c r="K37" s="528"/>
      <c r="L37" s="529"/>
      <c r="M37" s="529"/>
      <c r="N37" s="529"/>
      <c r="O37" s="529"/>
      <c r="P37" s="529"/>
      <c r="Q37" s="529"/>
      <c r="R37" s="529"/>
      <c r="S37" s="678"/>
    </row>
    <row r="38" spans="3:19" ht="14.1" customHeight="1">
      <c r="C38" s="553" t="s">
        <v>496</v>
      </c>
      <c r="D38" s="554"/>
      <c r="E38" s="538" t="str">
        <f>'Contract-SI-LC'!K17</f>
        <v xml:space="preserve">F.O.B </v>
      </c>
      <c r="F38" s="538"/>
      <c r="G38" s="538"/>
      <c r="H38" s="538"/>
      <c r="I38" s="538"/>
      <c r="J38" s="539"/>
      <c r="K38" s="580" t="s">
        <v>542</v>
      </c>
      <c r="L38" s="560"/>
      <c r="M38" s="560"/>
      <c r="N38" s="560"/>
      <c r="O38" s="560"/>
      <c r="P38" s="560"/>
      <c r="Q38" s="560"/>
      <c r="R38" s="560"/>
      <c r="S38" s="667"/>
    </row>
    <row r="39" spans="3:19" ht="14.1" customHeight="1">
      <c r="C39" s="553" t="s">
        <v>498</v>
      </c>
      <c r="D39" s="554"/>
      <c r="E39" s="555" t="s">
        <v>499</v>
      </c>
      <c r="F39" s="555"/>
      <c r="G39" s="555"/>
      <c r="H39" s="555"/>
      <c r="I39" s="555"/>
      <c r="J39" s="556"/>
      <c r="K39" s="821" t="str">
        <f>'Form Configuration'!B1</f>
        <v>PRAXIS  INTERNATIONAL BUSINESS PLC</v>
      </c>
      <c r="L39" s="822"/>
      <c r="M39" s="822"/>
      <c r="N39" s="822"/>
      <c r="O39" s="822"/>
      <c r="P39" s="822"/>
      <c r="Q39" s="822"/>
      <c r="R39" s="822"/>
      <c r="S39" s="823"/>
    </row>
    <row r="40" spans="3:19" ht="14.1" customHeight="1">
      <c r="C40" s="553" t="s">
        <v>500</v>
      </c>
      <c r="D40" s="554"/>
      <c r="E40" s="555" t="s">
        <v>514</v>
      </c>
      <c r="F40" s="555"/>
      <c r="G40" s="555"/>
      <c r="H40" s="555"/>
      <c r="I40" s="555"/>
      <c r="J40" s="556"/>
      <c r="K40" s="580" t="s">
        <v>543</v>
      </c>
      <c r="L40" s="560"/>
      <c r="M40" s="560"/>
      <c r="N40" s="560"/>
      <c r="O40" s="560"/>
      <c r="P40" s="560"/>
      <c r="Q40" s="560"/>
      <c r="R40" s="560"/>
      <c r="S40" s="667"/>
    </row>
    <row r="41" spans="3:19" ht="14.1" customHeight="1">
      <c r="C41" s="831" t="s">
        <v>515</v>
      </c>
      <c r="D41" s="526"/>
      <c r="E41" s="526"/>
      <c r="F41" s="526"/>
      <c r="G41" s="526"/>
      <c r="H41" s="526"/>
      <c r="I41" s="526"/>
      <c r="J41" s="527"/>
      <c r="K41" s="821" t="s">
        <v>544</v>
      </c>
      <c r="L41" s="822"/>
      <c r="M41" s="822"/>
      <c r="N41" s="822"/>
      <c r="O41" s="822"/>
      <c r="P41" s="822"/>
      <c r="Q41" s="822"/>
      <c r="R41" s="822"/>
      <c r="S41" s="823"/>
    </row>
    <row r="42" spans="3:19" ht="12.9" customHeight="1">
      <c r="C42" s="572" t="str">
        <f>'Contract-SI-LC'!K16</f>
        <v>CAD</v>
      </c>
      <c r="D42" s="529"/>
      <c r="E42" s="529"/>
      <c r="F42" s="529"/>
      <c r="G42" s="529"/>
      <c r="H42" s="529"/>
      <c r="I42" s="529"/>
      <c r="J42" s="530"/>
      <c r="K42" s="525" t="s">
        <v>503</v>
      </c>
      <c r="L42" s="526"/>
      <c r="M42" s="526"/>
      <c r="N42" s="526"/>
      <c r="O42" s="526"/>
      <c r="P42" s="526"/>
      <c r="Q42" s="526"/>
      <c r="R42" s="526"/>
      <c r="S42" s="581"/>
    </row>
    <row r="43" spans="3:19" ht="14.4">
      <c r="C43" s="825" t="s">
        <v>504</v>
      </c>
      <c r="D43" s="826"/>
      <c r="E43" s="826"/>
      <c r="F43" s="826"/>
      <c r="G43" s="826"/>
      <c r="H43" s="826"/>
      <c r="I43" s="826"/>
      <c r="J43" s="827"/>
      <c r="K43" s="528"/>
      <c r="L43" s="529"/>
      <c r="M43" s="529"/>
      <c r="N43" s="529"/>
      <c r="O43" s="529"/>
      <c r="P43" s="529"/>
      <c r="Q43" s="529"/>
      <c r="R43" s="529"/>
      <c r="S43" s="678"/>
    </row>
    <row r="44" spans="3:19" ht="17.399999999999999" customHeight="1">
      <c r="C44" s="828">
        <f>'Contract-SI-LC'!F35</f>
        <v>0</v>
      </c>
      <c r="D44" s="829"/>
      <c r="E44" s="829"/>
      <c r="F44" s="829"/>
      <c r="G44" s="829"/>
      <c r="H44" s="829"/>
      <c r="I44" s="829"/>
      <c r="J44" s="830"/>
      <c r="K44" s="824" t="s">
        <v>505</v>
      </c>
      <c r="L44" s="686"/>
      <c r="M44" s="686"/>
      <c r="N44" s="686"/>
      <c r="O44" s="686"/>
      <c r="P44" s="686"/>
      <c r="Q44" s="686"/>
      <c r="R44" s="686"/>
      <c r="S44" s="687"/>
    </row>
    <row r="45" spans="3:19" ht="18.600000000000001" customHeight="1">
      <c r="C45" s="559" t="s">
        <v>529</v>
      </c>
      <c r="D45" s="526"/>
      <c r="E45" s="526"/>
      <c r="F45" s="526"/>
      <c r="G45" s="526"/>
      <c r="H45" s="526"/>
      <c r="I45" s="526"/>
      <c r="J45" s="526"/>
      <c r="K45" s="775"/>
      <c r="L45" s="775"/>
      <c r="M45" s="775"/>
      <c r="N45" s="775"/>
      <c r="O45" s="775"/>
      <c r="P45" s="775"/>
      <c r="Q45" s="775"/>
      <c r="R45" s="775"/>
      <c r="S45" s="776"/>
    </row>
    <row r="46" spans="3:19" ht="18" customHeight="1">
      <c r="C46" s="346" t="s">
        <v>401</v>
      </c>
      <c r="D46" s="328" t="str">
        <f>CONCATENATE(Contract!D30," MT")</f>
        <v>19.2 MT</v>
      </c>
      <c r="E46" s="343" t="s">
        <v>402</v>
      </c>
      <c r="F46" s="542" t="str">
        <f>CONCATENATE(Contract!H30," MT")</f>
        <v>19.44 MT</v>
      </c>
      <c r="G46" s="542"/>
      <c r="H46" s="542"/>
      <c r="I46" s="542"/>
      <c r="J46" s="542"/>
      <c r="K46" s="775"/>
      <c r="L46" s="775"/>
      <c r="M46" s="775"/>
      <c r="N46" s="775"/>
      <c r="O46" s="775"/>
      <c r="P46" s="775"/>
      <c r="Q46" s="775"/>
      <c r="R46" s="775"/>
      <c r="S46" s="776"/>
    </row>
    <row r="47" spans="3:19" ht="15.9" customHeight="1">
      <c r="C47" s="768" t="s">
        <v>429</v>
      </c>
      <c r="D47" s="769"/>
      <c r="E47" s="542"/>
      <c r="F47" s="542"/>
      <c r="G47" s="542"/>
      <c r="H47" s="542"/>
      <c r="I47" s="542"/>
      <c r="J47" s="542"/>
      <c r="K47" s="775"/>
      <c r="L47" s="775"/>
      <c r="M47" s="775"/>
      <c r="N47" s="775"/>
      <c r="O47" s="775"/>
      <c r="P47" s="775"/>
      <c r="Q47" s="775"/>
      <c r="R47" s="775"/>
      <c r="S47" s="776"/>
    </row>
    <row r="48" spans="3:19" ht="15.9" customHeight="1">
      <c r="C48" s="770" t="s">
        <v>430</v>
      </c>
      <c r="D48" s="771"/>
      <c r="E48" s="542" t="str">
        <f>Processing!D6</f>
        <v>GUNA TRADING COFFEE PROCESSING</v>
      </c>
      <c r="F48" s="542"/>
      <c r="G48" s="542"/>
      <c r="H48" s="542"/>
      <c r="I48" s="542"/>
      <c r="J48" s="542"/>
      <c r="K48" s="775"/>
      <c r="L48" s="775"/>
      <c r="M48" s="775"/>
      <c r="N48" s="775"/>
      <c r="O48" s="775"/>
      <c r="P48" s="775"/>
      <c r="Q48" s="775"/>
      <c r="R48" s="775"/>
      <c r="S48" s="776"/>
    </row>
    <row r="49" spans="3:19" ht="28.8" customHeight="1" thickBot="1">
      <c r="C49" s="772" t="s">
        <v>431</v>
      </c>
      <c r="D49" s="773"/>
      <c r="E49" s="774" t="str">
        <f>Processing!D9</f>
        <v>ADDIS ABABA - ETHIOPIA</v>
      </c>
      <c r="F49" s="774"/>
      <c r="G49" s="774"/>
      <c r="H49" s="774"/>
      <c r="I49" s="774"/>
      <c r="J49" s="774"/>
      <c r="K49" s="777"/>
      <c r="L49" s="777"/>
      <c r="M49" s="777"/>
      <c r="N49" s="777"/>
      <c r="O49" s="777"/>
      <c r="P49" s="777"/>
      <c r="Q49" s="777"/>
      <c r="R49" s="777"/>
      <c r="S49" s="778"/>
    </row>
    <row r="50" spans="3:19" ht="4.8" customHeight="1"/>
    <row r="51" spans="3:19" ht="14.4">
      <c r="D51" s="17" t="s">
        <v>142</v>
      </c>
      <c r="E51" s="570">
        <f>'Contract-SI-LC'!K27</f>
        <v>0</v>
      </c>
      <c r="F51" s="570"/>
      <c r="G51" s="570"/>
      <c r="H51" s="570"/>
      <c r="I51" s="570"/>
      <c r="J51" s="570"/>
      <c r="K51" s="570"/>
      <c r="L51" s="570"/>
    </row>
    <row r="52" spans="3:19">
      <c r="E52" s="570"/>
      <c r="F52" s="570"/>
      <c r="G52" s="570"/>
      <c r="H52" s="570"/>
      <c r="I52" s="570"/>
      <c r="J52" s="570"/>
      <c r="K52" s="570"/>
      <c r="L52" s="570"/>
    </row>
    <row r="53" spans="3:19">
      <c r="E53" s="570"/>
      <c r="F53" s="570"/>
      <c r="G53" s="570"/>
      <c r="H53" s="570"/>
      <c r="I53" s="570"/>
      <c r="J53" s="570"/>
      <c r="K53" s="570"/>
      <c r="L53" s="570"/>
    </row>
    <row r="54" spans="3:19">
      <c r="E54" s="570"/>
      <c r="F54" s="570"/>
      <c r="G54" s="570"/>
      <c r="H54" s="570"/>
      <c r="I54" s="570"/>
      <c r="J54" s="570"/>
      <c r="K54" s="570"/>
      <c r="L54" s="570"/>
    </row>
    <row r="55" spans="3:19">
      <c r="E55" s="570"/>
      <c r="F55" s="570"/>
      <c r="G55" s="570"/>
      <c r="H55" s="570"/>
      <c r="I55" s="570"/>
      <c r="J55" s="570"/>
      <c r="K55" s="570"/>
      <c r="L55" s="570"/>
    </row>
    <row r="56" spans="3:19">
      <c r="E56" s="570"/>
      <c r="F56" s="570"/>
      <c r="G56" s="570"/>
      <c r="H56" s="570"/>
      <c r="I56" s="570"/>
      <c r="J56" s="570"/>
      <c r="K56" s="570"/>
      <c r="L56" s="570"/>
    </row>
    <row r="57" spans="3:19">
      <c r="E57" s="570"/>
      <c r="F57" s="570"/>
      <c r="G57" s="570"/>
      <c r="H57" s="570"/>
      <c r="I57" s="570"/>
      <c r="J57" s="570"/>
      <c r="K57" s="570"/>
      <c r="L57" s="570"/>
    </row>
    <row r="58" spans="3:19">
      <c r="E58" s="570"/>
      <c r="F58" s="570"/>
      <c r="G58" s="570"/>
      <c r="H58" s="570"/>
      <c r="I58" s="570"/>
      <c r="J58" s="570"/>
      <c r="K58" s="570"/>
      <c r="L58" s="570"/>
    </row>
    <row r="59" spans="3:19">
      <c r="E59" s="570"/>
      <c r="F59" s="570"/>
      <c r="G59" s="570"/>
      <c r="H59" s="570"/>
      <c r="I59" s="570"/>
      <c r="J59" s="570"/>
      <c r="K59" s="570"/>
      <c r="L59" s="570"/>
    </row>
    <row r="60" spans="3:19">
      <c r="E60" s="570"/>
      <c r="F60" s="570"/>
      <c r="G60" s="570"/>
      <c r="H60" s="570"/>
      <c r="I60" s="570"/>
      <c r="J60" s="570"/>
      <c r="K60" s="570"/>
      <c r="L60" s="570"/>
    </row>
    <row r="61" spans="3:19">
      <c r="E61" s="570"/>
      <c r="F61" s="570"/>
      <c r="G61" s="570"/>
      <c r="H61" s="570"/>
      <c r="I61" s="570"/>
      <c r="J61" s="570"/>
      <c r="K61" s="570"/>
      <c r="L61" s="570"/>
    </row>
    <row r="62" spans="3:19">
      <c r="E62" s="570"/>
      <c r="F62" s="570"/>
      <c r="G62" s="570"/>
      <c r="H62" s="570"/>
      <c r="I62" s="570"/>
      <c r="J62" s="570"/>
      <c r="K62" s="570"/>
      <c r="L62" s="570"/>
    </row>
    <row r="63" spans="3:19">
      <c r="E63" s="570"/>
      <c r="F63" s="570"/>
      <c r="G63" s="570"/>
      <c r="H63" s="570"/>
      <c r="I63" s="570"/>
      <c r="J63" s="570"/>
      <c r="K63" s="570"/>
      <c r="L63" s="570"/>
    </row>
    <row r="64" spans="3:19">
      <c r="E64" s="570"/>
      <c r="F64" s="570"/>
      <c r="G64" s="570"/>
      <c r="H64" s="570"/>
      <c r="I64" s="570"/>
      <c r="J64" s="570"/>
      <c r="K64" s="570"/>
      <c r="L64" s="570"/>
    </row>
  </sheetData>
  <mergeCells count="127">
    <mergeCell ref="C40:D40"/>
    <mergeCell ref="E40:J40"/>
    <mergeCell ref="K42:S43"/>
    <mergeCell ref="K44:S44"/>
    <mergeCell ref="C45:J45"/>
    <mergeCell ref="C42:J42"/>
    <mergeCell ref="C43:J43"/>
    <mergeCell ref="C44:J44"/>
    <mergeCell ref="C41:J41"/>
    <mergeCell ref="K40:S40"/>
    <mergeCell ref="K41:S41"/>
    <mergeCell ref="C38:D38"/>
    <mergeCell ref="E38:J38"/>
    <mergeCell ref="C39:D39"/>
    <mergeCell ref="E39:J39"/>
    <mergeCell ref="C36:D36"/>
    <mergeCell ref="E36:J36"/>
    <mergeCell ref="C37:D37"/>
    <mergeCell ref="E37:J37"/>
    <mergeCell ref="K38:S38"/>
    <mergeCell ref="K39:S39"/>
    <mergeCell ref="K36:S36"/>
    <mergeCell ref="K37:S37"/>
    <mergeCell ref="C33:F33"/>
    <mergeCell ref="G33:K33"/>
    <mergeCell ref="L33:O33"/>
    <mergeCell ref="P33:S33"/>
    <mergeCell ref="C34:D34"/>
    <mergeCell ref="E34:J34"/>
    <mergeCell ref="K34:S35"/>
    <mergeCell ref="C35:D35"/>
    <mergeCell ref="E35:J35"/>
    <mergeCell ref="C32:D32"/>
    <mergeCell ref="E32:F32"/>
    <mergeCell ref="G32:K32"/>
    <mergeCell ref="L32:O32"/>
    <mergeCell ref="P32:S32"/>
    <mergeCell ref="C25:D25"/>
    <mergeCell ref="E25:F25"/>
    <mergeCell ref="G25:K25"/>
    <mergeCell ref="L25:O25"/>
    <mergeCell ref="P25:S25"/>
    <mergeCell ref="E31:F31"/>
    <mergeCell ref="P31:S31"/>
    <mergeCell ref="P26:S26"/>
    <mergeCell ref="P27:S27"/>
    <mergeCell ref="P28:S28"/>
    <mergeCell ref="P29:S29"/>
    <mergeCell ref="P30:S30"/>
    <mergeCell ref="G31:K31"/>
    <mergeCell ref="L26:O26"/>
    <mergeCell ref="L27:O27"/>
    <mergeCell ref="L28:O28"/>
    <mergeCell ref="L29:O29"/>
    <mergeCell ref="L30:O30"/>
    <mergeCell ref="L31:O31"/>
    <mergeCell ref="I14:L14"/>
    <mergeCell ref="M14:O14"/>
    <mergeCell ref="C24:D24"/>
    <mergeCell ref="E24:F24"/>
    <mergeCell ref="G24:K24"/>
    <mergeCell ref="L24:O24"/>
    <mergeCell ref="P24:S24"/>
    <mergeCell ref="C23:D23"/>
    <mergeCell ref="E23:F23"/>
    <mergeCell ref="G23:K23"/>
    <mergeCell ref="L23:O23"/>
    <mergeCell ref="P23:S23"/>
    <mergeCell ref="I17:S17"/>
    <mergeCell ref="I18:S18"/>
    <mergeCell ref="Q14:S14"/>
    <mergeCell ref="I15:N15"/>
    <mergeCell ref="O15:S15"/>
    <mergeCell ref="C14:H15"/>
    <mergeCell ref="C6:S6"/>
    <mergeCell ref="C7:R7"/>
    <mergeCell ref="C8:D8"/>
    <mergeCell ref="E8:H8"/>
    <mergeCell ref="I8:N8"/>
    <mergeCell ref="O8:S8"/>
    <mergeCell ref="C9:D9"/>
    <mergeCell ref="E9:H9"/>
    <mergeCell ref="I9:N9"/>
    <mergeCell ref="O9:S9"/>
    <mergeCell ref="C10:H10"/>
    <mergeCell ref="I10:S10"/>
    <mergeCell ref="C11:H12"/>
    <mergeCell ref="I11:S11"/>
    <mergeCell ref="I12:S12"/>
    <mergeCell ref="C13:H13"/>
    <mergeCell ref="I13:S13"/>
    <mergeCell ref="I16:M16"/>
    <mergeCell ref="E30:F30"/>
    <mergeCell ref="C26:D26"/>
    <mergeCell ref="C27:D27"/>
    <mergeCell ref="C28:D28"/>
    <mergeCell ref="C29:D29"/>
    <mergeCell ref="C30:D30"/>
    <mergeCell ref="C16:H16"/>
    <mergeCell ref="C17:H18"/>
    <mergeCell ref="C19:S19"/>
    <mergeCell ref="C20:S20"/>
    <mergeCell ref="C22:D22"/>
    <mergeCell ref="E22:F22"/>
    <mergeCell ref="G22:K22"/>
    <mergeCell ref="L22:O22"/>
    <mergeCell ref="P22:S22"/>
    <mergeCell ref="N16:S16"/>
    <mergeCell ref="G26:K26"/>
    <mergeCell ref="G27:K27"/>
    <mergeCell ref="G28:K28"/>
    <mergeCell ref="G29:K29"/>
    <mergeCell ref="G30:K30"/>
    <mergeCell ref="C31:D31"/>
    <mergeCell ref="E26:F26"/>
    <mergeCell ref="E27:F27"/>
    <mergeCell ref="E28:F28"/>
    <mergeCell ref="E29:F29"/>
    <mergeCell ref="E51:L64"/>
    <mergeCell ref="C47:D47"/>
    <mergeCell ref="C48:D48"/>
    <mergeCell ref="C49:D49"/>
    <mergeCell ref="F46:J46"/>
    <mergeCell ref="E47:J47"/>
    <mergeCell ref="E48:J48"/>
    <mergeCell ref="E49:J49"/>
    <mergeCell ref="K45:S49"/>
  </mergeCells>
  <pageMargins left="0" right="0" top="0.5" bottom="0" header="0" footer="0"/>
  <pageSetup paperSize="9" scale="81" fitToHeight="0" orientation="portrait" r:id="rId1"/>
  <headerFooter>
    <oddHeader>&amp;C&amp;G</oddHeader>
    <oddFooter>&amp;C&amp;G</oddFooter>
  </headerFooter>
  <legacyDrawingHF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pageSetUpPr fitToPage="1"/>
  </sheetPr>
  <dimension ref="D2:P45"/>
  <sheetViews>
    <sheetView view="pageBreakPreview" zoomScale="73" zoomScaleNormal="73" workbookViewId="0">
      <selection activeCell="R12" sqref="R12"/>
    </sheetView>
  </sheetViews>
  <sheetFormatPr defaultRowHeight="14.4"/>
  <cols>
    <col min="4" max="4" width="38.6640625" customWidth="1"/>
    <col min="7" max="7" width="5.88671875" customWidth="1"/>
    <col min="8" max="8" width="4.33203125" customWidth="1"/>
    <col min="9" max="9" width="5.5546875" customWidth="1"/>
    <col min="10" max="10" width="5.33203125" customWidth="1"/>
    <col min="11" max="11" width="7.6640625" customWidth="1"/>
    <col min="12" max="12" width="6.6640625" customWidth="1"/>
    <col min="15" max="15" width="13.109375" customWidth="1"/>
    <col min="16" max="16" width="4.6640625" customWidth="1"/>
  </cols>
  <sheetData>
    <row r="2" spans="4:16" ht="21">
      <c r="L2" s="257" t="s">
        <v>408</v>
      </c>
    </row>
    <row r="5" spans="4:16">
      <c r="G5" s="8"/>
      <c r="H5" s="8"/>
      <c r="I5" s="8"/>
      <c r="J5" s="8"/>
      <c r="K5" s="8"/>
      <c r="L5" s="8"/>
      <c r="M5" s="8"/>
      <c r="N5" s="259" t="s">
        <v>395</v>
      </c>
      <c r="O5" s="8"/>
      <c r="P5" s="8"/>
    </row>
    <row r="6" spans="4:16">
      <c r="G6" s="8"/>
      <c r="H6" s="8"/>
      <c r="I6" s="8"/>
      <c r="J6" s="8"/>
      <c r="K6" s="8"/>
      <c r="L6" s="8"/>
      <c r="M6" s="8"/>
      <c r="N6" s="259" t="s">
        <v>409</v>
      </c>
      <c r="O6" s="8"/>
      <c r="P6" s="8"/>
    </row>
    <row r="7" spans="4:16">
      <c r="G7" s="8"/>
      <c r="H7" s="8"/>
      <c r="I7" s="8"/>
      <c r="J7" s="8"/>
      <c r="K7" s="8"/>
      <c r="L7" s="8"/>
      <c r="M7" s="8"/>
      <c r="N7" s="13"/>
      <c r="O7" s="8"/>
      <c r="P7" s="8"/>
    </row>
    <row r="8" spans="4:16" ht="15.6">
      <c r="E8" s="8"/>
      <c r="F8" s="867" t="s">
        <v>33</v>
      </c>
      <c r="G8" s="867"/>
      <c r="H8" s="867"/>
      <c r="I8" s="867"/>
      <c r="J8" s="867"/>
      <c r="K8" s="867"/>
      <c r="L8" s="8"/>
      <c r="M8" s="8"/>
      <c r="N8" s="8"/>
      <c r="O8" s="8"/>
      <c r="P8" s="8"/>
    </row>
    <row r="9" spans="4:16" ht="24" customHeight="1">
      <c r="D9" s="14" t="s">
        <v>410</v>
      </c>
      <c r="E9" s="8"/>
      <c r="F9" s="8"/>
      <c r="G9" s="8"/>
      <c r="H9" s="8"/>
      <c r="I9" s="8"/>
      <c r="J9" s="8"/>
      <c r="K9" s="8"/>
      <c r="L9" s="8"/>
      <c r="M9" s="8"/>
      <c r="N9" s="8"/>
      <c r="O9" s="8"/>
      <c r="P9" s="8"/>
    </row>
    <row r="10" spans="4:16" ht="36.6" customHeight="1">
      <c r="D10" s="15" t="s">
        <v>34</v>
      </c>
      <c r="E10" s="841" t="str">
        <f>_xlfn.CONCAT('Form Configuration'!B1:D1,",",'Form Configuration'!B2:D2)</f>
        <v>PRAXIS  INTERNATIONAL BUSINESS PLC,NIFAS SILK LAFTO SUB CITY, WOREDA 
08, HOUSE NO 1986, ADDIS ABABA, ETHIOPIA.</v>
      </c>
      <c r="F10" s="842"/>
      <c r="G10" s="842"/>
      <c r="H10" s="842"/>
      <c r="I10" s="842"/>
      <c r="J10" s="842"/>
      <c r="K10" s="842"/>
      <c r="L10" s="842"/>
      <c r="M10" s="842"/>
      <c r="N10" s="842"/>
      <c r="O10" s="842"/>
      <c r="P10" s="843"/>
    </row>
    <row r="11" spans="4:16" ht="36.6" customHeight="1">
      <c r="D11" s="15" t="s">
        <v>35</v>
      </c>
      <c r="E11" s="841" t="str">
        <f>'Contract-SI-LC'!K29</f>
        <v>-</v>
      </c>
      <c r="F11" s="842"/>
      <c r="G11" s="842"/>
      <c r="H11" s="842"/>
      <c r="I11" s="842"/>
      <c r="J11" s="842"/>
      <c r="K11" s="842"/>
      <c r="L11" s="842"/>
      <c r="M11" s="842"/>
      <c r="N11" s="842"/>
      <c r="O11" s="842"/>
      <c r="P11" s="843"/>
    </row>
    <row r="12" spans="4:16" ht="43.95" customHeight="1">
      <c r="D12" s="15" t="s">
        <v>36</v>
      </c>
      <c r="E12" s="839" t="str">
        <f>'Contract-SI-LC'!K30</f>
        <v>-</v>
      </c>
      <c r="F12" s="844"/>
      <c r="G12" s="844"/>
      <c r="H12" s="844"/>
      <c r="I12" s="844"/>
      <c r="J12" s="844"/>
      <c r="K12" s="844"/>
      <c r="L12" s="844"/>
      <c r="M12" s="844"/>
      <c r="N12" s="844"/>
      <c r="O12" s="844"/>
      <c r="P12" s="840"/>
    </row>
    <row r="13" spans="4:16" ht="37.950000000000003" customHeight="1">
      <c r="D13" s="16" t="s">
        <v>37</v>
      </c>
      <c r="E13" s="839" t="str">
        <f>IF('Contract-SI-LC'!K32="-"," ",'Contract-SI-LC'!K32)</f>
        <v xml:space="preserve"> </v>
      </c>
      <c r="F13" s="844"/>
      <c r="G13" s="844"/>
      <c r="H13" s="844"/>
      <c r="I13" s="844"/>
      <c r="J13" s="844"/>
      <c r="K13" s="844"/>
      <c r="L13" s="844"/>
      <c r="M13" s="844"/>
      <c r="N13" s="844"/>
      <c r="O13" s="844"/>
      <c r="P13" s="840"/>
    </row>
    <row r="14" spans="4:16">
      <c r="D14" s="832" t="s">
        <v>38</v>
      </c>
      <c r="E14" s="834" t="s">
        <v>560</v>
      </c>
      <c r="F14" s="835"/>
      <c r="G14" s="836" t="s">
        <v>561</v>
      </c>
      <c r="H14" s="837"/>
      <c r="I14" s="837"/>
      <c r="J14" s="837"/>
      <c r="K14" s="838"/>
      <c r="L14" s="836" t="s">
        <v>562</v>
      </c>
      <c r="M14" s="837"/>
      <c r="N14" s="837"/>
      <c r="O14" s="837"/>
      <c r="P14" s="838"/>
    </row>
    <row r="15" spans="4:16">
      <c r="D15" s="833"/>
      <c r="E15" s="839"/>
      <c r="F15" s="840"/>
      <c r="G15" s="836" t="s">
        <v>39</v>
      </c>
      <c r="H15" s="837"/>
      <c r="I15" s="837"/>
      <c r="J15" s="837"/>
      <c r="K15" s="838"/>
      <c r="L15" s="839"/>
      <c r="M15" s="844"/>
      <c r="N15" s="844"/>
      <c r="O15" s="844"/>
      <c r="P15" s="840"/>
    </row>
    <row r="16" spans="4:16">
      <c r="D16" s="15" t="s">
        <v>40</v>
      </c>
      <c r="E16" s="836" t="s">
        <v>41</v>
      </c>
      <c r="F16" s="837"/>
      <c r="G16" s="837"/>
      <c r="H16" s="837"/>
      <c r="I16" s="837"/>
      <c r="J16" s="837"/>
      <c r="K16" s="837"/>
      <c r="L16" s="837"/>
      <c r="M16" s="837"/>
      <c r="N16" s="837"/>
      <c r="O16" s="837"/>
      <c r="P16" s="838"/>
    </row>
    <row r="17" spans="4:16">
      <c r="D17" s="15" t="s">
        <v>42</v>
      </c>
      <c r="E17" s="848">
        <f>'Shipping Instruction'!F7</f>
        <v>0</v>
      </c>
      <c r="F17" s="849"/>
      <c r="G17" s="849"/>
      <c r="H17" s="849"/>
      <c r="I17" s="849"/>
      <c r="J17" s="849"/>
      <c r="K17" s="849"/>
      <c r="L17" s="849"/>
      <c r="M17" s="849"/>
      <c r="N17" s="849"/>
      <c r="O17" s="849"/>
      <c r="P17" s="850"/>
    </row>
    <row r="18" spans="4:16" ht="87.6" customHeight="1">
      <c r="D18" s="15" t="s">
        <v>43</v>
      </c>
      <c r="E18" s="836" t="str">
        <f>"ETHIOPIAN COFFEE, UNWASHED ARABICA,"&amp;'Contract-SI-LC'!K13&amp;" GRADE "&amp;'Contract-SI-LC'!K14&amp;", CROP YEAR "&amp;'Contract-SI-LC'!F37&amp;", AS PER CONTRACT REF."&amp;Contract!C5</f>
        <v>ETHIOPIAN COFFEE, UNWASHED ARABICA,UNWASHED DJIMMAH GRADE FIVE(5), CROP YEAR , AS PER CONTRACT REF.</v>
      </c>
      <c r="F18" s="844"/>
      <c r="G18" s="844"/>
      <c r="H18" s="844"/>
      <c r="I18" s="844"/>
      <c r="J18" s="844"/>
      <c r="K18" s="844"/>
      <c r="L18" s="844"/>
      <c r="M18" s="844"/>
      <c r="N18" s="844"/>
      <c r="O18" s="844"/>
      <c r="P18" s="840"/>
    </row>
    <row r="19" spans="4:16">
      <c r="D19" s="15" t="s">
        <v>44</v>
      </c>
      <c r="E19" s="851" t="str">
        <f>'Form Configuration'!D16</f>
        <v>09011100</v>
      </c>
      <c r="F19" s="852"/>
      <c r="G19" s="852"/>
      <c r="H19" s="852"/>
      <c r="I19" s="852"/>
      <c r="J19" s="852"/>
      <c r="K19" s="852"/>
      <c r="L19" s="852"/>
      <c r="M19" s="852"/>
      <c r="N19" s="852"/>
      <c r="O19" s="852"/>
      <c r="P19" s="853"/>
    </row>
    <row r="20" spans="4:16">
      <c r="D20" s="15" t="s">
        <v>45</v>
      </c>
      <c r="E20" s="845" t="str">
        <f>CONCATENATE(Contract!D18," BAGS ", "(",Contract!D34,"*20",")")</f>
        <v>320 BAGS (1*20)</v>
      </c>
      <c r="F20" s="846"/>
      <c r="G20" s="846"/>
      <c r="H20" s="846"/>
      <c r="I20" s="846"/>
      <c r="J20" s="846"/>
      <c r="K20" s="846"/>
      <c r="L20" s="846"/>
      <c r="M20" s="846"/>
      <c r="N20" s="846"/>
      <c r="O20" s="846"/>
      <c r="P20" s="847"/>
    </row>
    <row r="21" spans="4:16">
      <c r="D21" s="15" t="s">
        <v>46</v>
      </c>
      <c r="E21" s="836" t="s">
        <v>383</v>
      </c>
      <c r="F21" s="837"/>
      <c r="G21" s="838"/>
      <c r="H21" s="836" t="str">
        <f>_xlfn.CONCAT(Contract!H26," KGS")</f>
        <v>19440 KGS</v>
      </c>
      <c r="I21" s="837"/>
      <c r="J21" s="837"/>
      <c r="K21" s="838"/>
      <c r="L21" s="836" t="s">
        <v>384</v>
      </c>
      <c r="M21" s="837"/>
      <c r="N21" s="838"/>
      <c r="O21" s="836" t="str">
        <f>_xlfn.CONCAT(Contract!D26," KGS")</f>
        <v>19200 KGS</v>
      </c>
      <c r="P21" s="838"/>
    </row>
    <row r="22" spans="4:16">
      <c r="D22" s="15" t="s">
        <v>47</v>
      </c>
      <c r="E22" s="836" t="s">
        <v>48</v>
      </c>
      <c r="F22" s="837"/>
      <c r="G22" s="837"/>
      <c r="H22" s="837"/>
      <c r="I22" s="837"/>
      <c r="J22" s="837"/>
      <c r="K22" s="837"/>
      <c r="L22" s="837"/>
      <c r="M22" s="837"/>
      <c r="N22" s="837"/>
      <c r="O22" s="837"/>
      <c r="P22" s="838"/>
    </row>
    <row r="23" spans="4:16">
      <c r="D23" s="15" t="s">
        <v>49</v>
      </c>
      <c r="E23" s="876" t="str">
        <f>Contract!F54</f>
        <v>0023</v>
      </c>
      <c r="F23" s="837"/>
      <c r="G23" s="837"/>
      <c r="H23" s="837"/>
      <c r="I23" s="837"/>
      <c r="J23" s="837"/>
      <c r="K23" s="837"/>
      <c r="L23" s="837"/>
      <c r="M23" s="837"/>
      <c r="N23" s="837"/>
      <c r="O23" s="837"/>
      <c r="P23" s="838"/>
    </row>
    <row r="24" spans="4:16" ht="31.2" customHeight="1">
      <c r="D24" s="15" t="s">
        <v>50</v>
      </c>
      <c r="E24" s="836" t="s">
        <v>51</v>
      </c>
      <c r="F24" s="837"/>
      <c r="G24" s="837"/>
      <c r="H24" s="837"/>
      <c r="I24" s="837"/>
      <c r="J24" s="837"/>
      <c r="K24" s="837"/>
      <c r="L24" s="837"/>
      <c r="M24" s="837"/>
      <c r="N24" s="837"/>
      <c r="O24" s="837"/>
      <c r="P24" s="838"/>
    </row>
    <row r="25" spans="4:16" ht="40.950000000000003" customHeight="1">
      <c r="D25" s="15" t="s">
        <v>52</v>
      </c>
      <c r="E25" s="836" t="s">
        <v>53</v>
      </c>
      <c r="F25" s="837"/>
      <c r="G25" s="837"/>
      <c r="H25" s="837"/>
      <c r="I25" s="837"/>
      <c r="J25" s="837"/>
      <c r="K25" s="837"/>
      <c r="L25" s="837"/>
      <c r="M25" s="837"/>
      <c r="N25" s="837"/>
      <c r="O25" s="837"/>
      <c r="P25" s="838"/>
    </row>
    <row r="26" spans="4:16" ht="34.200000000000003">
      <c r="D26" s="832" t="s">
        <v>54</v>
      </c>
      <c r="E26" s="15" t="s">
        <v>55</v>
      </c>
      <c r="F26" s="836" t="s">
        <v>56</v>
      </c>
      <c r="G26" s="837"/>
      <c r="H26" s="838"/>
      <c r="I26" s="15" t="s">
        <v>57</v>
      </c>
      <c r="J26" s="839" t="s">
        <v>58</v>
      </c>
      <c r="K26" s="844"/>
      <c r="L26" s="840"/>
      <c r="M26" s="15" t="s">
        <v>59</v>
      </c>
      <c r="N26" s="836" t="s">
        <v>60</v>
      </c>
      <c r="O26" s="837"/>
      <c r="P26" s="838"/>
    </row>
    <row r="27" spans="4:16">
      <c r="D27" s="833"/>
      <c r="E27" s="216" t="str">
        <f>_xlfn.CONCAT(Contract!D34," FCL")</f>
        <v>1 FCL</v>
      </c>
      <c r="F27" s="839"/>
      <c r="G27" s="844"/>
      <c r="H27" s="840"/>
      <c r="I27" s="16"/>
      <c r="J27" s="839"/>
      <c r="K27" s="844"/>
      <c r="L27" s="840"/>
      <c r="M27" s="16"/>
      <c r="N27" s="839"/>
      <c r="O27" s="844"/>
      <c r="P27" s="840"/>
    </row>
    <row r="28" spans="4:16" ht="28.95" customHeight="1">
      <c r="D28" s="15" t="s">
        <v>61</v>
      </c>
      <c r="E28" s="839"/>
      <c r="F28" s="844"/>
      <c r="G28" s="844"/>
      <c r="H28" s="844"/>
      <c r="I28" s="844"/>
      <c r="J28" s="844"/>
      <c r="K28" s="844"/>
      <c r="L28" s="844"/>
      <c r="M28" s="844"/>
      <c r="N28" s="844"/>
      <c r="O28" s="844"/>
      <c r="P28" s="840"/>
    </row>
    <row r="29" spans="4:16">
      <c r="D29" s="15" t="s">
        <v>62</v>
      </c>
      <c r="E29" s="836">
        <f>'Contract-SI-LC'!K24</f>
        <v>0</v>
      </c>
      <c r="F29" s="837"/>
      <c r="G29" s="837"/>
      <c r="H29" s="837"/>
      <c r="I29" s="837"/>
      <c r="J29" s="837"/>
      <c r="K29" s="837"/>
      <c r="L29" s="837"/>
      <c r="M29" s="837"/>
      <c r="N29" s="837"/>
      <c r="O29" s="837"/>
      <c r="P29" s="838"/>
    </row>
    <row r="30" spans="4:16" ht="27.6" customHeight="1">
      <c r="D30" s="15" t="s">
        <v>63</v>
      </c>
      <c r="E30" s="836">
        <f>'Contract-SI-LC'!K20</f>
        <v>0</v>
      </c>
      <c r="F30" s="837"/>
      <c r="G30" s="837"/>
      <c r="H30" s="837"/>
      <c r="I30" s="837"/>
      <c r="J30" s="837"/>
      <c r="K30" s="837"/>
      <c r="L30" s="837"/>
      <c r="M30" s="837"/>
      <c r="N30" s="837"/>
      <c r="O30" s="837"/>
      <c r="P30" s="838"/>
    </row>
    <row r="31" spans="4:16" ht="24" customHeight="1">
      <c r="D31" s="15" t="s">
        <v>64</v>
      </c>
      <c r="E31" s="839">
        <f>Bookings!C4</f>
        <v>0</v>
      </c>
      <c r="F31" s="844"/>
      <c r="G31" s="844"/>
      <c r="H31" s="844"/>
      <c r="I31" s="844"/>
      <c r="J31" s="844"/>
      <c r="K31" s="844"/>
      <c r="L31" s="844"/>
      <c r="M31" s="844"/>
      <c r="N31" s="844"/>
      <c r="O31" s="844"/>
      <c r="P31" s="840"/>
    </row>
    <row r="32" spans="4:16" ht="19.95" customHeight="1">
      <c r="D32" s="15" t="s">
        <v>65</v>
      </c>
      <c r="E32" s="836"/>
      <c r="F32" s="837"/>
      <c r="G32" s="837"/>
      <c r="H32" s="837"/>
      <c r="I32" s="837"/>
      <c r="J32" s="837"/>
      <c r="K32" s="837"/>
      <c r="L32" s="837"/>
      <c r="M32" s="837"/>
      <c r="N32" s="837"/>
      <c r="O32" s="837"/>
      <c r="P32" s="838"/>
    </row>
    <row r="33" spans="4:16" ht="21" customHeight="1">
      <c r="D33" s="15" t="s">
        <v>66</v>
      </c>
      <c r="E33" s="836" t="s">
        <v>67</v>
      </c>
      <c r="F33" s="837"/>
      <c r="G33" s="837"/>
      <c r="H33" s="837"/>
      <c r="I33" s="837"/>
      <c r="J33" s="837"/>
      <c r="K33" s="837"/>
      <c r="L33" s="837"/>
      <c r="M33" s="837"/>
      <c r="N33" s="837"/>
      <c r="O33" s="837"/>
      <c r="P33" s="838"/>
    </row>
    <row r="34" spans="4:16" ht="15" thickBot="1">
      <c r="D34" s="229" t="s">
        <v>68</v>
      </c>
      <c r="E34" s="871" t="s">
        <v>69</v>
      </c>
      <c r="F34" s="872"/>
      <c r="G34" s="872"/>
      <c r="H34" s="872"/>
      <c r="I34" s="872"/>
      <c r="J34" s="872"/>
      <c r="K34" s="872"/>
      <c r="L34" s="872"/>
      <c r="M34" s="872"/>
      <c r="N34" s="872"/>
      <c r="O34" s="872"/>
      <c r="P34" s="873"/>
    </row>
    <row r="35" spans="4:16" ht="15" customHeight="1" thickBot="1">
      <c r="D35" s="854" t="s">
        <v>70</v>
      </c>
      <c r="E35" s="874" t="s">
        <v>70</v>
      </c>
      <c r="F35" s="875"/>
      <c r="G35" s="875"/>
      <c r="H35" s="875"/>
      <c r="I35" s="875"/>
      <c r="J35" s="875"/>
      <c r="K35" s="860" t="s">
        <v>71</v>
      </c>
      <c r="L35" s="861"/>
      <c r="M35" s="862"/>
      <c r="N35" s="860" t="s">
        <v>448</v>
      </c>
      <c r="O35" s="861"/>
      <c r="P35" s="862"/>
    </row>
    <row r="36" spans="4:16" ht="14.4" customHeight="1">
      <c r="D36" s="855"/>
      <c r="E36" s="857" t="str">
        <f>Staffing!G22</f>
        <v>MSDU121638/1</v>
      </c>
      <c r="F36" s="858"/>
      <c r="G36" s="858"/>
      <c r="H36" s="858"/>
      <c r="I36" s="858"/>
      <c r="J36" s="859"/>
      <c r="K36" s="863" t="str">
        <f>Staffing!H22</f>
        <v>EU27646310</v>
      </c>
      <c r="L36" s="864"/>
      <c r="M36" s="864"/>
      <c r="N36" s="879">
        <f>Staffing!I22</f>
        <v>23</v>
      </c>
      <c r="O36" s="880"/>
      <c r="P36" s="881"/>
    </row>
    <row r="37" spans="4:16" ht="14.4" customHeight="1">
      <c r="D37" s="855"/>
      <c r="E37" s="857" t="str">
        <f>Staffing!G23</f>
        <v/>
      </c>
      <c r="F37" s="858"/>
      <c r="G37" s="858"/>
      <c r="H37" s="858"/>
      <c r="I37" s="858"/>
      <c r="J37" s="859"/>
      <c r="K37" s="865" t="str">
        <f>Staffing!H23</f>
        <v>-</v>
      </c>
      <c r="L37" s="866"/>
      <c r="M37" s="866"/>
      <c r="N37" s="882" t="str">
        <f>Staffing!I23</f>
        <v>-</v>
      </c>
      <c r="O37" s="883"/>
      <c r="P37" s="884"/>
    </row>
    <row r="38" spans="4:16" ht="14.4" customHeight="1">
      <c r="D38" s="855"/>
      <c r="E38" s="857" t="str">
        <f>Staffing!G24</f>
        <v/>
      </c>
      <c r="F38" s="858"/>
      <c r="G38" s="858"/>
      <c r="H38" s="858"/>
      <c r="I38" s="858"/>
      <c r="J38" s="859"/>
      <c r="K38" s="865" t="str">
        <f>Staffing!H24</f>
        <v>-</v>
      </c>
      <c r="L38" s="866"/>
      <c r="M38" s="866"/>
      <c r="N38" s="882" t="str">
        <f>Staffing!I24</f>
        <v>-</v>
      </c>
      <c r="O38" s="883"/>
      <c r="P38" s="884"/>
    </row>
    <row r="39" spans="4:16" ht="14.4" customHeight="1">
      <c r="D39" s="855"/>
      <c r="E39" s="857" t="str">
        <f>Staffing!G25</f>
        <v/>
      </c>
      <c r="F39" s="858"/>
      <c r="G39" s="858"/>
      <c r="H39" s="858"/>
      <c r="I39" s="858"/>
      <c r="J39" s="859"/>
      <c r="K39" s="865" t="str">
        <f>Staffing!H25</f>
        <v>-</v>
      </c>
      <c r="L39" s="866"/>
      <c r="M39" s="866"/>
      <c r="N39" s="882" t="str">
        <f>Staffing!I25</f>
        <v>-</v>
      </c>
      <c r="O39" s="883"/>
      <c r="P39" s="884"/>
    </row>
    <row r="40" spans="4:16">
      <c r="D40" s="855"/>
      <c r="E40" s="857" t="str">
        <f>Staffing!G26</f>
        <v/>
      </c>
      <c r="F40" s="858"/>
      <c r="G40" s="858"/>
      <c r="H40" s="858"/>
      <c r="I40" s="858"/>
      <c r="J40" s="859"/>
      <c r="K40" s="865" t="str">
        <f>Staffing!H26</f>
        <v>-</v>
      </c>
      <c r="L40" s="866"/>
      <c r="M40" s="866"/>
      <c r="N40" s="882" t="str">
        <f>Staffing!I26</f>
        <v>-</v>
      </c>
      <c r="O40" s="883"/>
      <c r="P40" s="884"/>
    </row>
    <row r="41" spans="4:16">
      <c r="D41" s="855"/>
      <c r="E41" s="857" t="str">
        <f>Staffing!G27</f>
        <v/>
      </c>
      <c r="F41" s="858"/>
      <c r="G41" s="858"/>
      <c r="H41" s="858"/>
      <c r="I41" s="858"/>
      <c r="J41" s="859"/>
      <c r="K41" s="865" t="str">
        <f>Staffing!H27</f>
        <v>-</v>
      </c>
      <c r="L41" s="866"/>
      <c r="M41" s="866"/>
      <c r="N41" s="882" t="str">
        <f>Staffing!I27</f>
        <v>-</v>
      </c>
      <c r="O41" s="883"/>
      <c r="P41" s="884"/>
    </row>
    <row r="42" spans="4:16">
      <c r="D42" s="855"/>
      <c r="E42" s="857" t="str">
        <f>Staffing!G28</f>
        <v/>
      </c>
      <c r="F42" s="858"/>
      <c r="G42" s="858"/>
      <c r="H42" s="858"/>
      <c r="I42" s="858"/>
      <c r="J42" s="859"/>
      <c r="K42" s="865" t="str">
        <f>Staffing!H28</f>
        <v>-</v>
      </c>
      <c r="L42" s="866"/>
      <c r="M42" s="866"/>
      <c r="N42" s="882" t="str">
        <f>Staffing!I28</f>
        <v>-</v>
      </c>
      <c r="O42" s="883"/>
      <c r="P42" s="884"/>
    </row>
    <row r="43" spans="4:16">
      <c r="D43" s="855"/>
      <c r="E43" s="857" t="str">
        <f>Staffing!G29</f>
        <v/>
      </c>
      <c r="F43" s="858"/>
      <c r="G43" s="858"/>
      <c r="H43" s="858"/>
      <c r="I43" s="858"/>
      <c r="J43" s="859"/>
      <c r="K43" s="865" t="str">
        <f>Staffing!H29</f>
        <v>-</v>
      </c>
      <c r="L43" s="866"/>
      <c r="M43" s="866"/>
      <c r="N43" s="882" t="str">
        <f>Staffing!I29</f>
        <v>-</v>
      </c>
      <c r="O43" s="883"/>
      <c r="P43" s="884"/>
    </row>
    <row r="44" spans="4:16">
      <c r="D44" s="855"/>
      <c r="E44" s="857" t="str">
        <f>Staffing!G30</f>
        <v/>
      </c>
      <c r="F44" s="858"/>
      <c r="G44" s="858"/>
      <c r="H44" s="858"/>
      <c r="I44" s="858"/>
      <c r="J44" s="859"/>
      <c r="K44" s="865" t="str">
        <f>Staffing!H30</f>
        <v>-</v>
      </c>
      <c r="L44" s="866"/>
      <c r="M44" s="866"/>
      <c r="N44" s="882" t="str">
        <f>Staffing!I30</f>
        <v>-</v>
      </c>
      <c r="O44" s="883"/>
      <c r="P44" s="884"/>
    </row>
    <row r="45" spans="4:16" ht="15" thickBot="1">
      <c r="D45" s="856"/>
      <c r="E45" s="868" t="str">
        <f>Staffing!G31</f>
        <v/>
      </c>
      <c r="F45" s="869"/>
      <c r="G45" s="869"/>
      <c r="H45" s="869"/>
      <c r="I45" s="869"/>
      <c r="J45" s="870"/>
      <c r="K45" s="877" t="str">
        <f>Staffing!H31</f>
        <v>-</v>
      </c>
      <c r="L45" s="878"/>
      <c r="M45" s="878"/>
      <c r="N45" s="885" t="str">
        <f>Staffing!I31</f>
        <v>-</v>
      </c>
      <c r="O45" s="886"/>
      <c r="P45" s="887"/>
    </row>
  </sheetData>
  <mergeCells count="73">
    <mergeCell ref="K44:M44"/>
    <mergeCell ref="K45:M45"/>
    <mergeCell ref="N35:P35"/>
    <mergeCell ref="N36:P36"/>
    <mergeCell ref="N37:P37"/>
    <mergeCell ref="N38:P38"/>
    <mergeCell ref="N39:P39"/>
    <mergeCell ref="N45:P45"/>
    <mergeCell ref="N40:P40"/>
    <mergeCell ref="N41:P41"/>
    <mergeCell ref="N42:P42"/>
    <mergeCell ref="N43:P43"/>
    <mergeCell ref="N44:P44"/>
    <mergeCell ref="F8:K8"/>
    <mergeCell ref="E43:J43"/>
    <mergeCell ref="E44:J44"/>
    <mergeCell ref="E45:J45"/>
    <mergeCell ref="E39:J39"/>
    <mergeCell ref="E34:P34"/>
    <mergeCell ref="E35:J35"/>
    <mergeCell ref="E36:J36"/>
    <mergeCell ref="E24:P24"/>
    <mergeCell ref="E25:P25"/>
    <mergeCell ref="E28:P28"/>
    <mergeCell ref="E29:P29"/>
    <mergeCell ref="E30:P30"/>
    <mergeCell ref="E31:P31"/>
    <mergeCell ref="E32:P32"/>
    <mergeCell ref="E23:P23"/>
    <mergeCell ref="D35:D45"/>
    <mergeCell ref="E40:J40"/>
    <mergeCell ref="E41:J41"/>
    <mergeCell ref="E42:J42"/>
    <mergeCell ref="E33:P33"/>
    <mergeCell ref="E37:J37"/>
    <mergeCell ref="E38:J38"/>
    <mergeCell ref="K35:M35"/>
    <mergeCell ref="K36:M36"/>
    <mergeCell ref="K37:M37"/>
    <mergeCell ref="K38:M38"/>
    <mergeCell ref="K39:M39"/>
    <mergeCell ref="K40:M40"/>
    <mergeCell ref="K41:M41"/>
    <mergeCell ref="K42:M42"/>
    <mergeCell ref="K43:M43"/>
    <mergeCell ref="D26:D27"/>
    <mergeCell ref="F26:H26"/>
    <mergeCell ref="J26:L26"/>
    <mergeCell ref="N26:P26"/>
    <mergeCell ref="F27:H27"/>
    <mergeCell ref="J27:L27"/>
    <mergeCell ref="N27:P27"/>
    <mergeCell ref="E22:P22"/>
    <mergeCell ref="E10:P10"/>
    <mergeCell ref="E11:P11"/>
    <mergeCell ref="E12:P12"/>
    <mergeCell ref="E13:P13"/>
    <mergeCell ref="E20:P20"/>
    <mergeCell ref="E21:G21"/>
    <mergeCell ref="H21:K21"/>
    <mergeCell ref="L21:N21"/>
    <mergeCell ref="O21:P21"/>
    <mergeCell ref="L15:P15"/>
    <mergeCell ref="E16:P16"/>
    <mergeCell ref="E17:P17"/>
    <mergeCell ref="E18:P18"/>
    <mergeCell ref="E19:P19"/>
    <mergeCell ref="D14:D15"/>
    <mergeCell ref="E14:F14"/>
    <mergeCell ref="G14:K14"/>
    <mergeCell ref="L14:P14"/>
    <mergeCell ref="E15:F15"/>
    <mergeCell ref="G15:K15"/>
  </mergeCells>
  <hyperlinks>
    <hyperlink ref="E12" r:id="rId1" display="mailto:SHIPPING@WAMA.CH" xr:uid="{00000000-0004-0000-0A00-000000000000}"/>
    <hyperlink ref="L2" r:id="rId2" xr:uid="{2A4FC878-4999-4604-8C1B-612C2DDE1418}"/>
  </hyperlinks>
  <pageMargins left="0.25" right="0.25" top="0" bottom="0" header="0.25" footer="0"/>
  <pageSetup paperSize="9" scale="77" fitToHeight="0" orientation="portrait" r:id="rId3"/>
  <headerFooter>
    <oddHeader>&amp;L&amp;G</oddHeader>
    <oddFooter>&amp;C&amp;G</oddFooter>
  </headerFooter>
  <legacyDrawingHF r:id="rId4"/>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pageSetUpPr fitToPage="1"/>
  </sheetPr>
  <dimension ref="B2:I42"/>
  <sheetViews>
    <sheetView zoomScale="90" zoomScaleNormal="90" workbookViewId="0">
      <selection activeCell="E24" sqref="E24"/>
    </sheetView>
  </sheetViews>
  <sheetFormatPr defaultRowHeight="14.4"/>
  <cols>
    <col min="2" max="2" width="28.109375" customWidth="1"/>
    <col min="3" max="3" width="23" customWidth="1"/>
    <col min="4" max="4" width="22.5546875" customWidth="1"/>
    <col min="5" max="5" width="38.88671875" customWidth="1"/>
    <col min="8" max="8" width="4.6640625" customWidth="1"/>
    <col min="9" max="9" width="8.88671875" hidden="1" customWidth="1"/>
  </cols>
  <sheetData>
    <row r="2" spans="2:9" ht="21">
      <c r="E2" s="491" t="s">
        <v>408</v>
      </c>
      <c r="F2" s="491"/>
      <c r="G2" s="491"/>
      <c r="H2" s="491"/>
    </row>
    <row r="5" spans="2:9" ht="15.6">
      <c r="B5" s="8"/>
      <c r="D5" s="8"/>
      <c r="E5" s="87" t="s">
        <v>395</v>
      </c>
      <c r="F5" s="262"/>
    </row>
    <row r="6" spans="2:9">
      <c r="B6" s="8"/>
      <c r="D6" s="8"/>
      <c r="E6" s="87" t="s">
        <v>411</v>
      </c>
      <c r="F6" s="263"/>
    </row>
    <row r="7" spans="2:9">
      <c r="B7" s="8"/>
      <c r="D7" s="8"/>
      <c r="E7" s="8"/>
      <c r="F7" s="8"/>
    </row>
    <row r="8" spans="2:9" ht="32.4" customHeight="1">
      <c r="B8" s="8"/>
      <c r="D8" s="56" t="s">
        <v>170</v>
      </c>
    </row>
    <row r="9" spans="2:9">
      <c r="B9" s="893" t="str">
        <f>CONCATENATE("THIS IS A QUALITY CERTIFICATE IS FOR ",'Contract-SI-LC'!K28)</f>
        <v>THIS IS A QUALITY CERTIFICATE IS FOR 0</v>
      </c>
      <c r="C9" s="893"/>
      <c r="D9" s="893"/>
      <c r="E9" s="893"/>
      <c r="F9" s="893"/>
      <c r="G9" s="893"/>
    </row>
    <row r="10" spans="2:9" ht="41.4" customHeight="1" thickBot="1">
      <c r="B10" s="893"/>
      <c r="C10" s="893"/>
      <c r="D10" s="893"/>
      <c r="E10" s="893"/>
      <c r="F10" s="893"/>
      <c r="G10" s="893"/>
    </row>
    <row r="11" spans="2:9" ht="30.6" customHeight="1">
      <c r="B11" s="350" t="s">
        <v>189</v>
      </c>
      <c r="C11" s="894" t="str">
        <f>CONCATENATE(Bookings!C5,",","VESSEL ",Bookings!C6,", VOYAGE NO",Bookings!C7,", UNDER B/L NO", Bookings!B43, "WERE PACKED IN JUTE BAGS AS FOLLOWS:")</f>
        <v>,VESSEL , VOYAGE NO, UNDER B/L NOWERE PACKED IN JUTE BAGS AS FOLLOWS:</v>
      </c>
      <c r="D11" s="895"/>
      <c r="E11" s="895"/>
      <c r="F11" s="895"/>
      <c r="G11" s="896"/>
      <c r="H11" s="53"/>
      <c r="I11" s="53"/>
    </row>
    <row r="12" spans="2:9" ht="15.6">
      <c r="B12" s="351" t="s">
        <v>188</v>
      </c>
      <c r="C12" s="352">
        <f>Processing!D4</f>
        <v>0.11</v>
      </c>
      <c r="D12" s="353"/>
      <c r="E12" s="353"/>
      <c r="F12" s="354"/>
      <c r="G12" s="355"/>
    </row>
    <row r="13" spans="2:9" ht="33.6" customHeight="1">
      <c r="B13" s="351" t="s">
        <v>187</v>
      </c>
      <c r="C13" s="891" t="str">
        <f>_xlfn.CONCAT('Form Configuration'!B1:D1,",",'Form Configuration'!B2:D2)</f>
        <v>PRAXIS  INTERNATIONAL BUSINESS PLC,NIFAS SILK LAFTO SUB CITY, WOREDA 
08, HOUSE NO 1986, ADDIS ABABA, ETHIOPIA.</v>
      </c>
      <c r="D13" s="892"/>
      <c r="E13" s="892"/>
      <c r="F13" s="356"/>
      <c r="G13" s="357"/>
      <c r="H13" s="53"/>
      <c r="I13" s="53"/>
    </row>
    <row r="14" spans="2:9" ht="31.8" customHeight="1">
      <c r="B14" s="351" t="s">
        <v>186</v>
      </c>
      <c r="C14" s="897" t="str">
        <f>'Contract-SI-LC'!K30</f>
        <v>-</v>
      </c>
      <c r="D14" s="898"/>
      <c r="E14" s="898"/>
      <c r="F14" s="898"/>
      <c r="G14" s="899"/>
      <c r="H14" s="349"/>
    </row>
    <row r="15" spans="2:9" ht="28.95" customHeight="1">
      <c r="B15" s="351" t="s">
        <v>185</v>
      </c>
      <c r="C15" s="358" t="str">
        <f>'Contract-SI-LC'!K32</f>
        <v>-</v>
      </c>
      <c r="D15" s="353"/>
      <c r="E15" s="353"/>
      <c r="F15" s="354"/>
      <c r="G15" s="355"/>
    </row>
    <row r="16" spans="2:9" ht="47.4" customHeight="1">
      <c r="B16" s="351" t="s">
        <v>184</v>
      </c>
      <c r="C16" s="888">
        <f>'Contract-SI-LC'!K28</f>
        <v>0</v>
      </c>
      <c r="D16" s="889"/>
      <c r="E16" s="889"/>
      <c r="F16" s="889"/>
      <c r="G16" s="890"/>
    </row>
    <row r="17" spans="2:7" ht="15.6">
      <c r="B17" s="351" t="s">
        <v>175</v>
      </c>
      <c r="C17" s="359" t="str">
        <f>'Form Configuration'!K7</f>
        <v>ETHIOPIA</v>
      </c>
      <c r="D17" s="353"/>
      <c r="E17" s="353"/>
      <c r="F17" s="354"/>
      <c r="G17" s="355"/>
    </row>
    <row r="18" spans="2:7" ht="15.6">
      <c r="B18" s="351" t="s">
        <v>176</v>
      </c>
      <c r="C18" s="359">
        <f>'Contract-SI-LC'!K7</f>
        <v>0</v>
      </c>
      <c r="D18" s="353"/>
      <c r="E18" s="353"/>
      <c r="F18" s="354"/>
      <c r="G18" s="355"/>
    </row>
    <row r="19" spans="2:7" ht="15.6">
      <c r="B19" s="351" t="s">
        <v>177</v>
      </c>
      <c r="C19" s="358" t="str">
        <f>_xlfn.CONCAT('Form Configuration'!A12,"/",Contract!F54)</f>
        <v>010/1116/0023</v>
      </c>
      <c r="D19" s="353"/>
      <c r="E19" s="353"/>
      <c r="F19" s="354"/>
      <c r="G19" s="355"/>
    </row>
    <row r="20" spans="2:7" ht="15.6">
      <c r="B20" s="351" t="s">
        <v>190</v>
      </c>
      <c r="C20" s="358" t="str">
        <f>Contract!F54</f>
        <v>0023</v>
      </c>
      <c r="D20" s="353"/>
      <c r="E20" s="353"/>
      <c r="F20" s="354"/>
      <c r="G20" s="355"/>
    </row>
    <row r="21" spans="2:7" ht="15.6">
      <c r="B21" s="351" t="s">
        <v>178</v>
      </c>
      <c r="C21" s="359" t="str">
        <f>CONCATENATE(Contract!D26," KG")</f>
        <v>19200 KG</v>
      </c>
      <c r="D21" s="353"/>
      <c r="E21" s="353"/>
      <c r="F21" s="354"/>
      <c r="G21" s="355"/>
    </row>
    <row r="22" spans="2:7" ht="15.6">
      <c r="B22" s="351" t="s">
        <v>179</v>
      </c>
      <c r="C22" s="359" t="str">
        <f>CONCATENATE(Contract!H26," KG")</f>
        <v>19440 KG</v>
      </c>
      <c r="D22" s="353"/>
      <c r="E22" s="353"/>
      <c r="F22" s="354"/>
      <c r="G22" s="355"/>
    </row>
    <row r="23" spans="2:7" ht="15.6">
      <c r="B23" s="351" t="s">
        <v>180</v>
      </c>
      <c r="C23" s="359" t="str">
        <f>CONCATENATE(Contract!D28," LBS")</f>
        <v>42328.704 LBS</v>
      </c>
      <c r="D23" s="353"/>
      <c r="E23" s="353"/>
      <c r="F23" s="354"/>
      <c r="G23" s="355"/>
    </row>
    <row r="24" spans="2:7" ht="15.6">
      <c r="B24" s="351" t="s">
        <v>182</v>
      </c>
      <c r="C24" s="360">
        <f>'Contract-SI-LC'!K24</f>
        <v>0</v>
      </c>
      <c r="D24" s="353"/>
      <c r="E24" s="353"/>
      <c r="F24" s="354"/>
      <c r="G24" s="355"/>
    </row>
    <row r="25" spans="2:7" ht="16.2" thickBot="1">
      <c r="B25" s="361" t="s">
        <v>183</v>
      </c>
      <c r="C25" s="362">
        <f>'Contract-SI-LC'!K20</f>
        <v>0</v>
      </c>
      <c r="D25" s="363"/>
      <c r="E25" s="363"/>
      <c r="F25" s="364"/>
      <c r="G25" s="155"/>
    </row>
    <row r="26" spans="2:7" ht="15.6">
      <c r="B26" s="55"/>
      <c r="C26" s="54"/>
      <c r="D26" s="8"/>
      <c r="E26" s="8"/>
    </row>
    <row r="27" spans="2:7" ht="34.200000000000003" customHeight="1">
      <c r="B27" s="48" t="s">
        <v>171</v>
      </c>
      <c r="C27" s="48" t="s">
        <v>172</v>
      </c>
      <c r="D27" s="48" t="s">
        <v>173</v>
      </c>
    </row>
    <row r="28" spans="2:7" ht="17.399999999999999" customHeight="1">
      <c r="B28" s="49" t="str">
        <f>Staffing!G22</f>
        <v>MSDU121638/1</v>
      </c>
      <c r="C28" s="49" t="str">
        <f>Staffing!H22</f>
        <v>EU27646310</v>
      </c>
      <c r="D28" s="21">
        <f>IF(B28="","",'Contract-SI-LC'!$K$25/Contract!$D$34)</f>
        <v>0</v>
      </c>
    </row>
    <row r="29" spans="2:7" ht="19.2" customHeight="1">
      <c r="B29" s="49" t="str">
        <f>Staffing!G23</f>
        <v/>
      </c>
      <c r="C29" s="49" t="str">
        <f>Staffing!H23</f>
        <v>-</v>
      </c>
      <c r="D29" s="21" t="str">
        <f>IF(B29="","",'Contract-SI-LC'!$K$25/Contract!$D$34)</f>
        <v/>
      </c>
    </row>
    <row r="30" spans="2:7" ht="17.399999999999999" customHeight="1">
      <c r="B30" s="49" t="str">
        <f>Staffing!G24</f>
        <v/>
      </c>
      <c r="C30" s="49" t="str">
        <f>Staffing!H24</f>
        <v>-</v>
      </c>
      <c r="D30" s="21" t="str">
        <f>IF(B30="","",'Contract-SI-LC'!$K$25/Contract!$D$34)</f>
        <v/>
      </c>
    </row>
    <row r="31" spans="2:7" ht="17.399999999999999" customHeight="1">
      <c r="B31" s="49" t="str">
        <f>Staffing!G25</f>
        <v/>
      </c>
      <c r="C31" s="49" t="str">
        <f>Staffing!H25</f>
        <v>-</v>
      </c>
      <c r="D31" s="21" t="str">
        <f>IF(B31="","",'Contract-SI-LC'!$K$25/Contract!$D$34)</f>
        <v/>
      </c>
    </row>
    <row r="32" spans="2:7" ht="17.399999999999999" customHeight="1">
      <c r="B32" s="49" t="str">
        <f>Staffing!G26</f>
        <v/>
      </c>
      <c r="C32" s="49" t="str">
        <f>Staffing!H26</f>
        <v>-</v>
      </c>
      <c r="D32" s="21" t="str">
        <f>IF(B32="","",'Contract-SI-LC'!$K$25/Contract!$D$34)</f>
        <v/>
      </c>
    </row>
    <row r="33" spans="2:5" ht="17.399999999999999" customHeight="1">
      <c r="B33" s="49" t="str">
        <f>Staffing!G27</f>
        <v/>
      </c>
      <c r="C33" s="49" t="str">
        <f>Staffing!H27</f>
        <v>-</v>
      </c>
      <c r="D33" s="21" t="str">
        <f>IF(B33="","",'Contract-SI-LC'!$K$25/Contract!$D$34)</f>
        <v/>
      </c>
    </row>
    <row r="34" spans="2:5" ht="17.399999999999999" customHeight="1">
      <c r="B34" s="49" t="str">
        <f>Staffing!G28</f>
        <v/>
      </c>
      <c r="C34" s="49" t="str">
        <f>Staffing!H28</f>
        <v>-</v>
      </c>
      <c r="D34" s="21" t="str">
        <f>IF(B34="","",'Contract-SI-LC'!$K$25/Contract!$D$34)</f>
        <v/>
      </c>
    </row>
    <row r="35" spans="2:5" ht="17.399999999999999" customHeight="1">
      <c r="B35" s="49" t="str">
        <f>Staffing!G29</f>
        <v/>
      </c>
      <c r="C35" s="49" t="str">
        <f>Staffing!H29</f>
        <v>-</v>
      </c>
      <c r="D35" s="21" t="str">
        <f>IF(B35="","",'Contract-SI-LC'!$K$25/Contract!$D$34)</f>
        <v/>
      </c>
    </row>
    <row r="36" spans="2:5" ht="17.399999999999999" customHeight="1">
      <c r="B36" s="49" t="str">
        <f>Staffing!G30</f>
        <v/>
      </c>
      <c r="C36" s="49" t="str">
        <f>Staffing!H30</f>
        <v>-</v>
      </c>
      <c r="D36" s="21" t="str">
        <f>IF(B36="","",'Contract-SI-LC'!$K$25/Contract!$D$34)</f>
        <v/>
      </c>
    </row>
    <row r="37" spans="2:5" ht="18" customHeight="1">
      <c r="B37" s="49" t="str">
        <f>Staffing!G31</f>
        <v/>
      </c>
      <c r="C37" s="49" t="str">
        <f>Staffing!H31</f>
        <v>-</v>
      </c>
      <c r="D37" s="21" t="str">
        <f>IF(B37="","",'Contract-SI-LC'!$K$25/Contract!$D$34)</f>
        <v/>
      </c>
    </row>
    <row r="38" spans="2:5">
      <c r="B38" s="8"/>
      <c r="D38" s="8"/>
      <c r="E38" s="8"/>
    </row>
    <row r="39" spans="2:5">
      <c r="B39" s="8"/>
      <c r="C39" s="50" t="str">
        <f>'Form Configuration'!B1</f>
        <v>PRAXIS  INTERNATIONAL BUSINESS PLC</v>
      </c>
      <c r="D39" s="8"/>
      <c r="E39" s="8"/>
    </row>
    <row r="40" spans="2:5">
      <c r="B40" s="8"/>
      <c r="C40" s="51"/>
      <c r="D40" s="8"/>
      <c r="E40" s="8"/>
    </row>
    <row r="41" spans="2:5">
      <c r="B41" s="8"/>
      <c r="C41" s="52"/>
      <c r="D41" s="8"/>
      <c r="E41" s="8"/>
    </row>
    <row r="42" spans="2:5">
      <c r="B42" s="8"/>
      <c r="C42" s="12"/>
      <c r="D42" s="8"/>
      <c r="E42" s="8"/>
    </row>
  </sheetData>
  <mergeCells count="6">
    <mergeCell ref="E2:H2"/>
    <mergeCell ref="C16:G16"/>
    <mergeCell ref="C13:E13"/>
    <mergeCell ref="B9:G10"/>
    <mergeCell ref="C11:G11"/>
    <mergeCell ref="C14:G14"/>
  </mergeCells>
  <hyperlinks>
    <hyperlink ref="E2" r:id="rId1" xr:uid="{C417F05B-4CB2-4A96-A0F8-5F85821FBD33}"/>
  </hyperlinks>
  <pageMargins left="0.25" right="0.25" top="0.75" bottom="0.75" header="0.3" footer="0.3"/>
  <pageSetup scale="75" fitToHeight="0" orientation="portrait" r:id="rId2"/>
  <headerFooter>
    <oddHeader>&amp;L&amp;G</oddHeader>
    <oddFooter>&amp;C&amp;G</oddFooter>
  </headerFooter>
  <legacyDrawingHF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pageSetUpPr fitToPage="1"/>
  </sheetPr>
  <dimension ref="B2:J40"/>
  <sheetViews>
    <sheetView view="pageBreakPreview" topLeftCell="A16" zoomScale="78" zoomScaleNormal="90" zoomScaleSheetLayoutView="78" workbookViewId="0">
      <selection activeCell="J13" sqref="J13"/>
    </sheetView>
  </sheetViews>
  <sheetFormatPr defaultRowHeight="14.4"/>
  <cols>
    <col min="1" max="1" width="8.88671875" customWidth="1"/>
    <col min="2" max="2" width="31.109375" customWidth="1"/>
    <col min="3" max="3" width="17.88671875" customWidth="1"/>
    <col min="4" max="4" width="15.44140625" customWidth="1"/>
    <col min="5" max="5" width="13.6640625" customWidth="1"/>
    <col min="6" max="6" width="9.88671875" customWidth="1"/>
    <col min="8" max="8" width="16.109375" customWidth="1"/>
    <col min="9" max="9" width="24.77734375" customWidth="1"/>
  </cols>
  <sheetData>
    <row r="2" spans="2:10" ht="21">
      <c r="G2" s="491" t="s">
        <v>408</v>
      </c>
      <c r="H2" s="491"/>
      <c r="I2" s="491"/>
      <c r="J2" s="491"/>
    </row>
    <row r="5" spans="2:10">
      <c r="H5" s="282" t="s">
        <v>423</v>
      </c>
    </row>
    <row r="6" spans="2:10">
      <c r="D6" s="8"/>
      <c r="E6" s="8"/>
      <c r="F6" s="8"/>
      <c r="G6" s="8"/>
      <c r="H6" s="282" t="s">
        <v>424</v>
      </c>
    </row>
    <row r="7" spans="2:10" ht="28.95" customHeight="1">
      <c r="D7" s="8"/>
      <c r="E7" s="8"/>
      <c r="F7" s="8"/>
      <c r="G7" s="8"/>
      <c r="H7" s="8"/>
      <c r="I7" s="8"/>
    </row>
    <row r="8" spans="2:10" ht="30" customHeight="1" thickBot="1">
      <c r="D8" s="8" t="s">
        <v>191</v>
      </c>
      <c r="F8" s="8"/>
      <c r="G8" s="8"/>
      <c r="H8" s="8"/>
      <c r="I8" s="8"/>
    </row>
    <row r="9" spans="2:10" s="60" customFormat="1" ht="30" customHeight="1">
      <c r="B9" s="365" t="s">
        <v>187</v>
      </c>
      <c r="C9" s="366" t="str">
        <f>_xlfn.CONCAT('Form Configuration'!B1:D1," ",'Form Configuration'!B2:D2)</f>
        <v>PRAXIS  INTERNATIONAL BUSINESS PLC NIFAS SILK LAFTO SUB CITY, WOREDA 
08, HOUSE NO 1986, ADDIS ABABA, ETHIOPIA.</v>
      </c>
      <c r="D9" s="367"/>
      <c r="E9" s="367"/>
      <c r="F9" s="367"/>
      <c r="G9" s="367"/>
      <c r="H9" s="367"/>
      <c r="I9" s="368"/>
    </row>
    <row r="10" spans="2:10" ht="36" customHeight="1">
      <c r="B10" s="369" t="s">
        <v>186</v>
      </c>
      <c r="C10" s="900" t="str">
        <f>'Contract-SI-LC'!K30</f>
        <v>-</v>
      </c>
      <c r="D10" s="901"/>
      <c r="E10" s="901"/>
      <c r="F10" s="901"/>
      <c r="G10" s="901"/>
      <c r="H10" s="901"/>
      <c r="I10" s="902"/>
    </row>
    <row r="11" spans="2:10" ht="22.95" customHeight="1">
      <c r="B11" s="369" t="s">
        <v>185</v>
      </c>
      <c r="C11" s="370" t="str">
        <f>'Contract-SI-LC'!K32</f>
        <v>-</v>
      </c>
      <c r="D11" s="353"/>
      <c r="E11" s="353"/>
      <c r="F11" s="354"/>
      <c r="G11" s="354"/>
      <c r="H11" s="353"/>
      <c r="I11" s="371"/>
    </row>
    <row r="12" spans="2:10" ht="47.4" customHeight="1">
      <c r="B12" s="369" t="s">
        <v>198</v>
      </c>
      <c r="C12" s="888">
        <f>'Contract-SI-LC'!K28</f>
        <v>0</v>
      </c>
      <c r="D12" s="889"/>
      <c r="E12" s="889"/>
      <c r="F12" s="889"/>
      <c r="G12" s="889"/>
      <c r="H12" s="889"/>
      <c r="I12" s="890"/>
    </row>
    <row r="13" spans="2:10" ht="18" customHeight="1">
      <c r="B13" s="369" t="s">
        <v>199</v>
      </c>
      <c r="C13" s="359" t="str">
        <f>CONCATENATE(Contract!D26," KG")</f>
        <v>19200 KG</v>
      </c>
      <c r="D13" s="353"/>
      <c r="E13" s="353"/>
      <c r="F13" s="353"/>
      <c r="G13" s="353"/>
      <c r="H13" s="353"/>
      <c r="I13" s="371"/>
    </row>
    <row r="14" spans="2:10" ht="18.600000000000001" customHeight="1">
      <c r="B14" s="369" t="s">
        <v>200</v>
      </c>
      <c r="C14" s="359" t="str">
        <f>CONCATENATE(Contract!H26," KG")</f>
        <v>19440 KG</v>
      </c>
      <c r="D14" s="353"/>
      <c r="E14" s="353"/>
      <c r="F14" s="353"/>
      <c r="G14" s="353"/>
      <c r="H14" s="353"/>
      <c r="I14" s="371"/>
    </row>
    <row r="15" spans="2:10" ht="15.6">
      <c r="B15" s="369" t="s">
        <v>201</v>
      </c>
      <c r="C15" s="359">
        <f>'Contract-SI-LC'!F35</f>
        <v>0</v>
      </c>
      <c r="D15" s="353"/>
      <c r="E15" s="353"/>
      <c r="F15" s="353"/>
      <c r="G15" s="353"/>
      <c r="H15" s="353"/>
      <c r="I15" s="371"/>
    </row>
    <row r="16" spans="2:10" ht="15.6">
      <c r="B16" s="369" t="s">
        <v>202</v>
      </c>
      <c r="C16" s="360" t="str">
        <f>'Form Configuration'!K7</f>
        <v>ETHIOPIA</v>
      </c>
      <c r="D16" s="353"/>
      <c r="E16" s="353"/>
      <c r="F16" s="353"/>
      <c r="G16" s="353"/>
      <c r="H16" s="353"/>
      <c r="I16" s="371"/>
    </row>
    <row r="17" spans="2:9" ht="19.2" customHeight="1">
      <c r="B17" s="369" t="s">
        <v>176</v>
      </c>
      <c r="C17" s="372">
        <f>'Contract-SI-LC'!K7</f>
        <v>0</v>
      </c>
      <c r="D17" s="353"/>
      <c r="E17" s="353"/>
      <c r="F17" s="353"/>
      <c r="G17" s="353"/>
      <c r="H17" s="353"/>
      <c r="I17" s="371"/>
    </row>
    <row r="18" spans="2:9" ht="15.6">
      <c r="B18" s="369" t="s">
        <v>203</v>
      </c>
      <c r="C18" s="359" t="str">
        <f>_xlfn.CONCAT('Form Configuration'!A12,"/",Contract!F54)</f>
        <v>010/1116/0023</v>
      </c>
      <c r="D18" s="353"/>
      <c r="E18" s="353"/>
      <c r="F18" s="353"/>
      <c r="G18" s="353"/>
      <c r="H18" s="353"/>
      <c r="I18" s="371"/>
    </row>
    <row r="19" spans="2:9" ht="15.6">
      <c r="B19" s="369" t="s">
        <v>143</v>
      </c>
      <c r="C19" s="373" t="str">
        <f>Contract!F54</f>
        <v>0023</v>
      </c>
      <c r="D19" s="353"/>
      <c r="E19" s="353"/>
      <c r="F19" s="353"/>
      <c r="G19" s="353"/>
      <c r="H19" s="353"/>
      <c r="I19" s="371"/>
    </row>
    <row r="20" spans="2:9" ht="15.6">
      <c r="B20" s="369" t="s">
        <v>206</v>
      </c>
      <c r="C20" s="358">
        <f>'Contract-SI-LC'!K24</f>
        <v>0</v>
      </c>
      <c r="D20" s="353"/>
      <c r="E20" s="353"/>
      <c r="F20" s="353"/>
      <c r="G20" s="353"/>
      <c r="H20" s="353"/>
      <c r="I20" s="371"/>
    </row>
    <row r="21" spans="2:9" ht="16.2" thickBot="1">
      <c r="B21" s="374" t="s">
        <v>183</v>
      </c>
      <c r="C21" s="362">
        <f>'Contract-SI-LC'!K20</f>
        <v>0</v>
      </c>
      <c r="D21" s="363"/>
      <c r="E21" s="363"/>
      <c r="F21" s="363"/>
      <c r="G21" s="363"/>
      <c r="H21" s="363"/>
      <c r="I21" s="375"/>
    </row>
    <row r="22" spans="2:9" ht="15.6">
      <c r="B22" s="283"/>
      <c r="C22" s="54"/>
      <c r="D22" s="8"/>
      <c r="E22" s="8"/>
      <c r="F22" s="8"/>
      <c r="G22" s="8"/>
      <c r="H22" s="8"/>
      <c r="I22" s="8"/>
    </row>
    <row r="23" spans="2:9" ht="31.95" customHeight="1">
      <c r="C23" s="907" t="s">
        <v>192</v>
      </c>
      <c r="D23" s="907" t="s">
        <v>193</v>
      </c>
      <c r="E23" s="909" t="s">
        <v>204</v>
      </c>
      <c r="F23" s="911" t="s">
        <v>205</v>
      </c>
      <c r="G23" s="912"/>
      <c r="H23" s="903" t="s">
        <v>194</v>
      </c>
      <c r="I23" s="904"/>
    </row>
    <row r="24" spans="2:9" ht="31.2" customHeight="1">
      <c r="C24" s="908"/>
      <c r="D24" s="908"/>
      <c r="E24" s="910"/>
      <c r="F24" s="265" t="s">
        <v>195</v>
      </c>
      <c r="G24" s="61" t="s">
        <v>196</v>
      </c>
      <c r="H24" s="62" t="s">
        <v>195</v>
      </c>
      <c r="I24" s="62" t="s">
        <v>196</v>
      </c>
    </row>
    <row r="25" spans="2:9" ht="18" customHeight="1">
      <c r="C25" s="266" t="str">
        <f>Staffing!G22</f>
        <v>MSDU121638/1</v>
      </c>
      <c r="D25" s="266" t="str">
        <f>Staffing!H22</f>
        <v>EU27646310</v>
      </c>
      <c r="E25" s="267">
        <f>IF(C25="","",'Contract-SI-LC'!$K$25/Contract!$D$34)</f>
        <v>0</v>
      </c>
      <c r="F25" s="267">
        <f>IF(C25="","",INDEX('Form Configuration'!$E$5:$J$11,MATCH(Contract!$D$17,'Form Configuration'!$E$5:$E$11,0),4))</f>
        <v>60</v>
      </c>
      <c r="G25" s="264">
        <f>IF(C25="","",INDEX('Form Configuration'!$E$5:$J$11,MATCH(Contract!$D$17,'Form Configuration'!$E$5:$E$11,0),6))</f>
        <v>60.75</v>
      </c>
      <c r="H25" s="57">
        <f>IF(C25="","",Contract!D$26/Contract!D$34)</f>
        <v>19200</v>
      </c>
      <c r="I25" s="57">
        <f>IF(C25="","",Contract!H$26/Contract!D$34)</f>
        <v>19440</v>
      </c>
    </row>
    <row r="26" spans="2:9" ht="18" customHeight="1">
      <c r="C26" s="266" t="str">
        <f>Staffing!G23</f>
        <v/>
      </c>
      <c r="D26" s="266" t="str">
        <f>Staffing!H23</f>
        <v>-</v>
      </c>
      <c r="E26" s="267" t="str">
        <f>IF(C26="","",'Contract-SI-LC'!$K$25/Contract!$D$34)</f>
        <v/>
      </c>
      <c r="F26" s="267" t="str">
        <f>IF(C26="","",INDEX('Form Configuration'!$E$5:$J$11,MATCH(Contract!$D$17,'Form Configuration'!$E$5:$E$11,0),4))</f>
        <v/>
      </c>
      <c r="G26" s="264" t="str">
        <f>IF(C26="","",INDEX('Form Configuration'!$E$5:$J$11,MATCH(Contract!$D$17,'Form Configuration'!$E$5:$E$11,0),6))</f>
        <v/>
      </c>
      <c r="H26" s="57" t="str">
        <f>IF(C26="","",Contract!D$26/Contract!D$34)</f>
        <v/>
      </c>
      <c r="I26" s="57" t="str">
        <f>IF(C26="","",Contract!H$26/Contract!D$34)</f>
        <v/>
      </c>
    </row>
    <row r="27" spans="2:9" ht="18" customHeight="1">
      <c r="C27" s="266" t="str">
        <f>Staffing!G24</f>
        <v/>
      </c>
      <c r="D27" s="266" t="str">
        <f>Staffing!H24</f>
        <v>-</v>
      </c>
      <c r="E27" s="267" t="str">
        <f>IF(C27="","",'Contract-SI-LC'!$K$25/Contract!$D$34)</f>
        <v/>
      </c>
      <c r="F27" s="267" t="str">
        <f>IF(C27="","",INDEX('Form Configuration'!$E$5:$J$11,MATCH(Contract!$D$17,'Form Configuration'!$E$5:$E$11,0),4))</f>
        <v/>
      </c>
      <c r="G27" s="264" t="str">
        <f>IF(C27="","",INDEX('Form Configuration'!$E$5:$J$11,MATCH(Contract!$D$17,'Form Configuration'!$E$5:$E$11,0),6))</f>
        <v/>
      </c>
      <c r="H27" s="57" t="str">
        <f>IF(C27="","",Contract!D$26/Contract!D$34)</f>
        <v/>
      </c>
      <c r="I27" s="57" t="str">
        <f>IF(C27="","",Contract!H$26/Contract!D$34)</f>
        <v/>
      </c>
    </row>
    <row r="28" spans="2:9" ht="18" customHeight="1">
      <c r="C28" s="266" t="str">
        <f>Staffing!G25</f>
        <v/>
      </c>
      <c r="D28" s="266" t="str">
        <f>Staffing!H25</f>
        <v>-</v>
      </c>
      <c r="E28" s="267" t="str">
        <f>IF(C28="","",'Contract-SI-LC'!$K$25/Contract!$D$34)</f>
        <v/>
      </c>
      <c r="F28" s="267" t="str">
        <f>IF(C28="","",INDEX('Form Configuration'!$E$5:$J$11,MATCH(Contract!$D$17,'Form Configuration'!$E$5:$E$11,0),4))</f>
        <v/>
      </c>
      <c r="G28" s="264" t="str">
        <f>IF(C28="","",INDEX('Form Configuration'!$E$5:$J$11,MATCH(Contract!$D$17,'Form Configuration'!$E$5:$E$11,0),6))</f>
        <v/>
      </c>
      <c r="H28" s="57" t="str">
        <f>IF(C28="","",Contract!D$26/Contract!D$34)</f>
        <v/>
      </c>
      <c r="I28" s="57" t="str">
        <f>IF(C28="","",Contract!H$26/Contract!D$34)</f>
        <v/>
      </c>
    </row>
    <row r="29" spans="2:9" ht="18" customHeight="1">
      <c r="C29" s="266" t="str">
        <f>Staffing!G26</f>
        <v/>
      </c>
      <c r="D29" s="266" t="str">
        <f>Staffing!H26</f>
        <v>-</v>
      </c>
      <c r="E29" s="267" t="str">
        <f>IF(C29="","",'Contract-SI-LC'!$K$25/Contract!$D$34)</f>
        <v/>
      </c>
      <c r="F29" s="267" t="str">
        <f>IF(C29="","",INDEX('Form Configuration'!$E$5:$J$11,MATCH(Contract!$D$17,'Form Configuration'!$E$5:$E$11,0),4))</f>
        <v/>
      </c>
      <c r="G29" s="264" t="str">
        <f>IF(C29="","",INDEX('Form Configuration'!$E$5:$J$11,MATCH(Contract!$D$17,'Form Configuration'!$E$5:$E$11,0),6))</f>
        <v/>
      </c>
      <c r="H29" s="57" t="str">
        <f>IF(C29="","",Contract!D$26/Contract!D$34)</f>
        <v/>
      </c>
      <c r="I29" s="57" t="str">
        <f>IF(C29="","",Contract!H$26/Contract!D$34)</f>
        <v/>
      </c>
    </row>
    <row r="30" spans="2:9" ht="18" customHeight="1">
      <c r="C30" s="266" t="str">
        <f>Staffing!G27</f>
        <v/>
      </c>
      <c r="D30" s="266" t="str">
        <f>Staffing!H27</f>
        <v>-</v>
      </c>
      <c r="E30" s="267" t="str">
        <f>IF(C30="","",'Contract-SI-LC'!$K$25/Contract!$D$34)</f>
        <v/>
      </c>
      <c r="F30" s="267" t="str">
        <f>IF(C30="","",INDEX('Form Configuration'!$E$5:$J$11,MATCH(Contract!$D$17,'Form Configuration'!$E$5:$E$11,0),4))</f>
        <v/>
      </c>
      <c r="G30" s="264" t="str">
        <f>IF(C30="","",INDEX('Form Configuration'!$E$5:$J$11,MATCH(Contract!$D$17,'Form Configuration'!$E$5:$E$11,0),6))</f>
        <v/>
      </c>
      <c r="H30" s="57" t="str">
        <f>IF(C30="","",Contract!D$26/Contract!D$34)</f>
        <v/>
      </c>
      <c r="I30" s="57" t="str">
        <f>IF(C30="","",Contract!H$26/Contract!D$34)</f>
        <v/>
      </c>
    </row>
    <row r="31" spans="2:9" ht="18" customHeight="1">
      <c r="C31" s="266" t="str">
        <f>Staffing!G28</f>
        <v/>
      </c>
      <c r="D31" s="266" t="str">
        <f>Staffing!H28</f>
        <v>-</v>
      </c>
      <c r="E31" s="267" t="str">
        <f>IF(C31="","",'Contract-SI-LC'!$K$25/Contract!$D$34)</f>
        <v/>
      </c>
      <c r="F31" s="267" t="str">
        <f>IF(C31="","",INDEX('Form Configuration'!$E$5:$J$11,MATCH(Contract!$D$17,'Form Configuration'!$E$5:$E$11,0),4))</f>
        <v/>
      </c>
      <c r="G31" s="264" t="str">
        <f>IF(C31="","",INDEX('Form Configuration'!$E$5:$J$11,MATCH(Contract!$D$17,'Form Configuration'!$E$5:$E$11,0),6))</f>
        <v/>
      </c>
      <c r="H31" s="57" t="str">
        <f>IF(C31="","",Contract!D$26/Contract!D$34)</f>
        <v/>
      </c>
      <c r="I31" s="57" t="str">
        <f>IF(C31="","",Contract!H$26/Contract!D$34)</f>
        <v/>
      </c>
    </row>
    <row r="32" spans="2:9" ht="18" customHeight="1">
      <c r="C32" s="266" t="str">
        <f>Staffing!G29</f>
        <v/>
      </c>
      <c r="D32" s="266" t="str">
        <f>Staffing!H29</f>
        <v>-</v>
      </c>
      <c r="E32" s="267" t="str">
        <f>IF(C32="","",'Contract-SI-LC'!$K$25/Contract!$D$34)</f>
        <v/>
      </c>
      <c r="F32" s="267" t="str">
        <f>IF(C32="","",INDEX('Form Configuration'!$E$5:$J$11,MATCH(Contract!$D$17,'Form Configuration'!$E$5:$E$11,0),4))</f>
        <v/>
      </c>
      <c r="G32" s="264" t="str">
        <f>IF(C32="","",INDEX('Form Configuration'!$E$5:$J$11,MATCH(Contract!$D$17,'Form Configuration'!$E$5:$E$11,0),6))</f>
        <v/>
      </c>
      <c r="H32" s="57" t="str">
        <f>IF(C32="","",Contract!D$26/Contract!D$34)</f>
        <v/>
      </c>
      <c r="I32" s="57" t="str">
        <f>IF(C32="","",Contract!H$26/Contract!D$34)</f>
        <v/>
      </c>
    </row>
    <row r="33" spans="3:9" ht="18" customHeight="1">
      <c r="C33" s="266" t="str">
        <f>Staffing!G30</f>
        <v/>
      </c>
      <c r="D33" s="266" t="str">
        <f>Staffing!H30</f>
        <v>-</v>
      </c>
      <c r="E33" s="267" t="str">
        <f>IF(C33="","",'Contract-SI-LC'!$K$25/Contract!$D$34)</f>
        <v/>
      </c>
      <c r="F33" s="267" t="str">
        <f>IF(C33="","",INDEX('Form Configuration'!$E$5:$J$11,MATCH(Contract!$D$17,'Form Configuration'!$E$5:$E$11,0),4))</f>
        <v/>
      </c>
      <c r="G33" s="264" t="str">
        <f>IF(C33="","",INDEX('Form Configuration'!$E$5:$J$11,MATCH(Contract!$D$17,'Form Configuration'!$E$5:$E$11,0),6))</f>
        <v/>
      </c>
      <c r="H33" s="57" t="str">
        <f>IF(C33="","",Contract!D$26/Contract!D$34)</f>
        <v/>
      </c>
      <c r="I33" s="57" t="str">
        <f>IF(C33="","",Contract!H$26/Contract!D$34)</f>
        <v/>
      </c>
    </row>
    <row r="34" spans="3:9" ht="18" customHeight="1">
      <c r="C34" s="266" t="str">
        <f>Staffing!G31</f>
        <v/>
      </c>
      <c r="D34" s="266" t="str">
        <f>Staffing!H31</f>
        <v>-</v>
      </c>
      <c r="E34" s="267" t="str">
        <f>IF(C34="","",'Contract-SI-LC'!$K$25/Contract!$D$34)</f>
        <v/>
      </c>
      <c r="F34" s="267" t="str">
        <f>IF(C34="","",INDEX('Form Configuration'!$E$5:$J$11,MATCH(Contract!$D$17,'Form Configuration'!$E$5:$E$11,0),4))</f>
        <v/>
      </c>
      <c r="G34" s="264" t="str">
        <f>IF(C34="","",INDEX('Form Configuration'!$E$5:$J$11,MATCH(Contract!$D$17,'Form Configuration'!$E$5:$E$11,0),6))</f>
        <v/>
      </c>
      <c r="H34" s="57" t="str">
        <f>IF(C34="","",Contract!D$26/Contract!D$34)</f>
        <v/>
      </c>
      <c r="I34" s="57" t="str">
        <f>IF(C34="","",Contract!H$26/Contract!D$34)</f>
        <v/>
      </c>
    </row>
    <row r="35" spans="3:9" ht="30.6">
      <c r="C35" s="905"/>
      <c r="D35" s="905"/>
      <c r="E35" s="905"/>
      <c r="F35" s="906"/>
      <c r="G35" s="16" t="s">
        <v>197</v>
      </c>
      <c r="H35" s="58" t="str">
        <f>CONCATENATE(SUM(H25:H34)," KGS")</f>
        <v>19200 KGS</v>
      </c>
      <c r="I35" s="58" t="str">
        <f>CONCATENATE(SUM(I25:I34)," KGS")</f>
        <v>19440 KGS</v>
      </c>
    </row>
    <row r="36" spans="3:9">
      <c r="C36" s="59"/>
      <c r="D36" s="8"/>
      <c r="E36" s="8"/>
      <c r="F36" s="8"/>
      <c r="G36" s="8"/>
      <c r="H36" s="8"/>
      <c r="I36" s="8"/>
    </row>
    <row r="37" spans="3:9">
      <c r="C37" s="11"/>
      <c r="D37" s="8"/>
      <c r="E37" s="8"/>
      <c r="F37" s="8"/>
      <c r="G37" s="8"/>
      <c r="H37" s="8"/>
      <c r="I37" s="8"/>
    </row>
    <row r="38" spans="3:9">
      <c r="C38" s="11"/>
      <c r="D38" s="8"/>
      <c r="E38" s="8"/>
      <c r="F38" s="8"/>
      <c r="G38" s="8"/>
      <c r="H38" s="8"/>
      <c r="I38" s="8"/>
    </row>
    <row r="39" spans="3:9">
      <c r="C39" s="45"/>
      <c r="D39" s="8"/>
      <c r="E39" s="8"/>
      <c r="F39" s="8"/>
      <c r="G39" s="8"/>
      <c r="H39" s="8"/>
      <c r="I39" s="8"/>
    </row>
    <row r="40" spans="3:9">
      <c r="C40" s="12"/>
      <c r="D40" s="8"/>
      <c r="E40" s="8"/>
      <c r="F40" s="8"/>
      <c r="G40" s="8"/>
      <c r="H40" s="8"/>
      <c r="I40" s="8"/>
    </row>
  </sheetData>
  <mergeCells count="9">
    <mergeCell ref="G2:J2"/>
    <mergeCell ref="C10:I10"/>
    <mergeCell ref="H23:I23"/>
    <mergeCell ref="C35:F35"/>
    <mergeCell ref="C23:C24"/>
    <mergeCell ref="D23:D24"/>
    <mergeCell ref="E23:E24"/>
    <mergeCell ref="F23:G23"/>
    <mergeCell ref="C12:I12"/>
  </mergeCells>
  <hyperlinks>
    <hyperlink ref="G2" r:id="rId1" xr:uid="{96020005-C090-466A-880A-B3CFAB859995}"/>
  </hyperlinks>
  <printOptions horizontalCentered="1"/>
  <pageMargins left="0.25" right="0.25" top="0.75" bottom="0.75" header="0.3" footer="0.3"/>
  <pageSetup scale="69" fitToHeight="0" orientation="portrait" r:id="rId2"/>
  <headerFooter>
    <oddHeader>&amp;L&amp;G</oddHeader>
    <oddFooter>&amp;C&amp;G</oddFooter>
  </headerFooter>
  <legacyDrawingHF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pageSetUpPr fitToPage="1"/>
  </sheetPr>
  <dimension ref="B2:Q46"/>
  <sheetViews>
    <sheetView view="pageBreakPreview" topLeftCell="A34" zoomScale="89" zoomScaleNormal="87" zoomScaleSheetLayoutView="70" workbookViewId="0">
      <selection activeCell="I32" sqref="I32"/>
    </sheetView>
  </sheetViews>
  <sheetFormatPr defaultRowHeight="14.4"/>
  <cols>
    <col min="2" max="2" width="16.77734375" customWidth="1"/>
    <col min="3" max="3" width="13.6640625" customWidth="1"/>
    <col min="4" max="4" width="9.77734375" bestFit="1" customWidth="1"/>
    <col min="8" max="8" width="8.109375" customWidth="1"/>
    <col min="10" max="10" width="11" customWidth="1"/>
  </cols>
  <sheetData>
    <row r="2" spans="2:14" ht="21">
      <c r="K2" s="491" t="s">
        <v>408</v>
      </c>
      <c r="L2" s="491"/>
      <c r="M2" s="491"/>
      <c r="N2" s="491"/>
    </row>
    <row r="7" spans="2:14" ht="17.399999999999999">
      <c r="F7" s="913" t="s">
        <v>208</v>
      </c>
      <c r="G7" s="913"/>
    </row>
    <row r="8" spans="2:14" ht="17.399999999999999">
      <c r="H8" s="63"/>
    </row>
    <row r="9" spans="2:14">
      <c r="L9" s="238" t="s">
        <v>395</v>
      </c>
    </row>
    <row r="10" spans="2:14">
      <c r="L10" s="238" t="s">
        <v>396</v>
      </c>
    </row>
    <row r="11" spans="2:14" ht="18">
      <c r="B11" s="17" t="s">
        <v>215</v>
      </c>
      <c r="C11" s="64" t="str">
        <f>'Form Configuration'!E19</f>
        <v>ETHIOPIAN SHIPPING AND LOGISTICS SERVICES ENTERPRISE (ESLSE)</v>
      </c>
    </row>
    <row r="12" spans="2:14">
      <c r="C12" s="239" t="str">
        <f>CONCATENATE('Form Configuration'!E21,"(",'Form Configuration'!E20,")")</f>
        <v>DJIBOUTI(+25377384845/+253 77031882/+253 21380802)</v>
      </c>
    </row>
    <row r="14" spans="2:14" ht="15.6">
      <c r="B14" s="24" t="s">
        <v>210</v>
      </c>
      <c r="C14" s="915" t="str">
        <f>INDEX(Staffing!B22:N31,MATCH('WAY BILL'!C16,Staffing!D22:D31,0),2)</f>
        <v/>
      </c>
      <c r="D14" s="915"/>
      <c r="E14" s="915"/>
    </row>
    <row r="15" spans="2:14" ht="15.6">
      <c r="B15" s="24" t="s">
        <v>211</v>
      </c>
      <c r="C15" s="915" t="str">
        <f>INDEX(Staffing!B22:N31,MATCH('WAY BILL'!C16,Staffing!D22:D31,0)+1,2)</f>
        <v>3 ET-03098</v>
      </c>
      <c r="D15" s="915"/>
      <c r="E15" s="915"/>
    </row>
    <row r="16" spans="2:14" ht="15.6">
      <c r="B16" s="24" t="s">
        <v>212</v>
      </c>
      <c r="C16" s="915" t="s">
        <v>545</v>
      </c>
      <c r="D16" s="915"/>
      <c r="E16" s="915"/>
    </row>
    <row r="17" spans="2:14" ht="15.6">
      <c r="B17" s="24" t="s">
        <v>389</v>
      </c>
      <c r="C17" s="915" t="str">
        <f>INDEX(Staffing!B22:N31,MATCH('WAY BILL'!C16,Staffing!D22:D31,0),4)</f>
        <v>0911138271</v>
      </c>
      <c r="D17" s="915"/>
      <c r="E17" s="915"/>
    </row>
    <row r="18" spans="2:14" ht="15.6">
      <c r="B18" s="24" t="s">
        <v>213</v>
      </c>
      <c r="C18" s="915" t="str">
        <f>INDEX(Staffing!B22:N31,MATCH('WAY BILL'!C16,Staffing!D22:D31,0),5)</f>
        <v>05-R008141</v>
      </c>
      <c r="D18" s="915"/>
      <c r="E18" s="915"/>
    </row>
    <row r="19" spans="2:14" ht="15.6">
      <c r="B19" s="24" t="s">
        <v>214</v>
      </c>
      <c r="C19" s="915">
        <f>'Contract-SI-LC'!K24</f>
        <v>0</v>
      </c>
      <c r="D19" s="915"/>
      <c r="E19" s="915"/>
    </row>
    <row r="20" spans="2:14" ht="19.8" customHeight="1">
      <c r="B20" s="241"/>
      <c r="C20" s="241"/>
      <c r="D20" s="241"/>
      <c r="E20" s="241"/>
      <c r="F20" s="241"/>
      <c r="G20" s="241"/>
      <c r="H20" s="240" t="s">
        <v>209</v>
      </c>
      <c r="I20" s="241"/>
      <c r="J20" s="241"/>
      <c r="K20" s="241"/>
      <c r="L20" s="241"/>
      <c r="M20" s="241"/>
    </row>
    <row r="21" spans="2:14" ht="33" customHeight="1">
      <c r="B21" s="914" t="str">
        <f>CONCATENATE("I ",C16," the undersigned_____________and that I have Received the Goods from Praxis International PLC and bind myself to covey them safe to Djibouti port.")</f>
        <v>I ABEBE DEJENE the undersigned_____________and that I have Received the Goods from Praxis International PLC and bind myself to covey them safe to Djibouti port.</v>
      </c>
      <c r="C21" s="914"/>
      <c r="D21" s="914"/>
      <c r="E21" s="914"/>
      <c r="F21" s="914"/>
      <c r="G21" s="914"/>
      <c r="H21" s="914"/>
      <c r="I21" s="914"/>
      <c r="J21" s="914"/>
      <c r="K21" s="914"/>
      <c r="L21" s="914"/>
      <c r="M21" s="914"/>
      <c r="N21" s="235"/>
    </row>
    <row r="22" spans="2:14" ht="18.600000000000001" customHeight="1">
      <c r="B22" s="65" t="s">
        <v>390</v>
      </c>
      <c r="C22" s="241"/>
      <c r="D22" s="241"/>
      <c r="E22" s="241"/>
      <c r="F22" s="241"/>
      <c r="G22" s="241"/>
      <c r="H22" s="241"/>
      <c r="I22" s="241"/>
      <c r="J22" s="241"/>
      <c r="K22" s="241"/>
      <c r="L22" s="241"/>
      <c r="M22" s="241"/>
      <c r="N22" s="234"/>
    </row>
    <row r="23" spans="2:14" ht="24.6" customHeight="1">
      <c r="B23" s="65" t="s">
        <v>391</v>
      </c>
      <c r="C23" s="241"/>
      <c r="D23" s="241"/>
      <c r="E23" s="241"/>
      <c r="F23" s="241"/>
      <c r="G23" s="241"/>
      <c r="H23" s="241"/>
      <c r="I23" s="241"/>
      <c r="J23" s="241"/>
      <c r="K23" s="241"/>
      <c r="L23" s="241"/>
      <c r="M23" s="241"/>
      <c r="N23" s="234"/>
    </row>
    <row r="24" spans="2:14" ht="16.8" customHeight="1">
      <c r="B24" s="65" t="s">
        <v>392</v>
      </c>
      <c r="C24" s="241"/>
      <c r="D24" s="241"/>
      <c r="E24" s="241"/>
      <c r="F24" s="241"/>
      <c r="G24" s="241"/>
      <c r="H24" s="241"/>
      <c r="I24" s="241"/>
      <c r="J24" s="241"/>
      <c r="K24" s="241"/>
      <c r="L24" s="241"/>
      <c r="M24" s="241"/>
      <c r="N24" s="234"/>
    </row>
    <row r="25" spans="2:14" ht="40.799999999999997" customHeight="1">
      <c r="B25" s="914" t="s">
        <v>207</v>
      </c>
      <c r="C25" s="914"/>
      <c r="D25" s="914"/>
      <c r="E25" s="914"/>
      <c r="F25" s="914"/>
      <c r="G25" s="914"/>
      <c r="H25" s="914"/>
      <c r="I25" s="914"/>
      <c r="J25" s="914"/>
      <c r="K25" s="914"/>
      <c r="L25" s="914"/>
      <c r="M25" s="914"/>
      <c r="N25" s="234"/>
    </row>
    <row r="26" spans="2:14" ht="7.95" customHeight="1">
      <c r="B26" s="241"/>
      <c r="C26" s="65"/>
      <c r="D26" s="241"/>
      <c r="E26" s="241"/>
      <c r="F26" s="241"/>
      <c r="G26" s="241"/>
      <c r="H26" s="241"/>
      <c r="I26" s="241"/>
      <c r="J26" s="241"/>
      <c r="K26" s="241"/>
      <c r="L26" s="241"/>
      <c r="M26" s="241"/>
    </row>
    <row r="27" spans="2:14" ht="15.6">
      <c r="B27" s="241"/>
      <c r="C27" s="241"/>
      <c r="D27" s="241"/>
      <c r="E27" s="241"/>
      <c r="F27" s="241"/>
      <c r="G27" s="66" t="s">
        <v>407</v>
      </c>
      <c r="H27" s="241"/>
      <c r="I27" s="241"/>
      <c r="J27" s="241"/>
      <c r="K27" s="241"/>
      <c r="L27" s="241"/>
      <c r="M27" s="241"/>
    </row>
    <row r="28" spans="2:14" ht="46.2" customHeight="1">
      <c r="B28" s="241"/>
      <c r="C28" s="242" t="str">
        <f>CONCATENATE(K41," PRODUCE OF ETHIOPIAN ARABICA COFFEE ",'Contract-SI-LC'!K13," GRADE ",'Contract-SI-LC'!K14)</f>
        <v>PRAXIS  INTERNATIONAL BUSINESS PLC PRODUCE OF ETHIOPIAN ARABICA COFFEE UNWASHED DJIMMAH GRADE FIVE(5)</v>
      </c>
      <c r="D28" s="242"/>
      <c r="E28" s="242"/>
      <c r="F28" s="242"/>
      <c r="G28" s="242"/>
      <c r="H28" s="242"/>
      <c r="I28" s="242"/>
      <c r="J28" s="242"/>
      <c r="K28" s="242"/>
      <c r="L28" s="242"/>
      <c r="M28" s="241"/>
    </row>
    <row r="29" spans="2:14" ht="25.2" customHeight="1">
      <c r="B29" s="241"/>
      <c r="C29" s="236" t="s">
        <v>400</v>
      </c>
      <c r="D29" s="242" t="str">
        <f>IF(OR(C14="",C15=""),CONCATENATE('Form Configuration'!A12,"/","00",INDEX(Staffing!B22:N31,MATCH('WAY BILL'!C16,Staffing!D22:D31,0),8)),CONCATENATE('Form Configuration'!A12,"/","00",INDEX(Staffing!B22:N31,MATCH('WAY BILL'!C16,Staffing!D22:D31,0),8)," and ",'Form Configuration'!A12,"/","00",INDEX(Staffing!B22:N31,MATCH('WAY BILL'!C16,Staffing!D22:D31,0)+1,8)))</f>
        <v>010/1116/0023</v>
      </c>
      <c r="E29" s="242"/>
      <c r="F29" s="242"/>
      <c r="G29" s="242"/>
      <c r="H29" s="242"/>
      <c r="I29" s="242"/>
      <c r="J29" s="242"/>
      <c r="K29" s="242"/>
      <c r="L29" s="242"/>
      <c r="M29" s="241"/>
    </row>
    <row r="30" spans="2:14" ht="25.2" customHeight="1">
      <c r="B30" s="241"/>
      <c r="C30" s="236" t="s">
        <v>122</v>
      </c>
      <c r="D30" s="242" t="str">
        <f>IF(OR(C14="",C15=""),CONCATENATE("00",INDEX(Staffing!B22:N31,MATCH('WAY BILL'!C16,Staffing!D22:D31,0),8)),CONCATENATE("00",INDEX(Staffing!B22:N31,MATCH('WAY BILL'!C16,Staffing!D22:D31,0),8)," and ","00",INDEX(Staffing!B22:N31,MATCH('WAY BILL'!C16,Staffing!D22:D31,0)+1,8)))</f>
        <v>0023</v>
      </c>
      <c r="E30" s="242"/>
      <c r="F30" s="242"/>
      <c r="G30" s="242"/>
      <c r="H30" s="242"/>
      <c r="I30" s="242"/>
      <c r="J30" s="242"/>
      <c r="K30" s="242"/>
      <c r="L30" s="242"/>
      <c r="M30" s="241"/>
    </row>
    <row r="31" spans="2:14" ht="25.2" customHeight="1">
      <c r="B31" s="241"/>
      <c r="C31" s="237" t="s">
        <v>394</v>
      </c>
      <c r="D31" s="242">
        <f>IF(OR(C14="",C15=""),Contract!D18/Contract!D34,Contract!D18/Contract!D34*2)</f>
        <v>320</v>
      </c>
      <c r="E31" s="242"/>
      <c r="F31" s="242"/>
      <c r="G31" s="242"/>
      <c r="H31" s="242"/>
      <c r="I31" s="242"/>
      <c r="J31" s="242"/>
      <c r="K31" s="242"/>
      <c r="L31" s="242"/>
      <c r="M31" s="241"/>
    </row>
    <row r="32" spans="2:14" ht="25.2" customHeight="1">
      <c r="B32" s="241"/>
      <c r="C32" s="236" t="s">
        <v>402</v>
      </c>
      <c r="D32" s="242" t="str">
        <f>CONCATENATE(IF(OR(C14="",C15=""),Contract!H26/Contract!D34,2*Contract!H26/Contract!D34)," KG")</f>
        <v>19440 KG</v>
      </c>
      <c r="E32" s="242"/>
      <c r="F32" s="242"/>
      <c r="G32" s="242"/>
      <c r="H32" s="242"/>
      <c r="I32" s="242"/>
      <c r="J32" s="242"/>
      <c r="K32" s="242"/>
      <c r="L32" s="242"/>
      <c r="M32" s="241"/>
    </row>
    <row r="33" spans="2:17" ht="25.2" customHeight="1">
      <c r="B33" s="241"/>
      <c r="C33" s="236" t="s">
        <v>401</v>
      </c>
      <c r="D33" s="242" t="str">
        <f>CONCATENATE(IF(OR(C14="",C15=""),Contract!D26/Contract!D34,2*Contract!D26/Contract!D34)," KG")</f>
        <v>19200 KG</v>
      </c>
      <c r="E33" s="242"/>
      <c r="F33" s="242"/>
      <c r="G33" s="242"/>
      <c r="H33" s="242"/>
      <c r="I33" s="242"/>
      <c r="J33" s="242"/>
      <c r="K33" s="242"/>
      <c r="L33" s="242"/>
      <c r="M33" s="241"/>
    </row>
    <row r="34" spans="2:17" ht="25.2" customHeight="1" thickBot="1">
      <c r="B34" s="241"/>
      <c r="C34" s="236" t="s">
        <v>444</v>
      </c>
      <c r="D34" s="242"/>
      <c r="E34" s="242"/>
      <c r="F34" s="242"/>
      <c r="G34" s="242"/>
      <c r="H34" s="242"/>
      <c r="I34" s="317"/>
      <c r="J34" s="242" t="s">
        <v>445</v>
      </c>
      <c r="K34" s="317"/>
      <c r="L34" s="242" t="s">
        <v>446</v>
      </c>
      <c r="M34" s="918"/>
      <c r="N34" s="918"/>
    </row>
    <row r="35" spans="2:17" ht="7.95" customHeight="1">
      <c r="B35" s="241"/>
      <c r="C35" s="65"/>
      <c r="D35" s="241"/>
      <c r="E35" s="241"/>
      <c r="F35" s="241"/>
      <c r="G35" s="241"/>
      <c r="H35" s="241"/>
      <c r="I35" s="241"/>
      <c r="J35" s="241"/>
      <c r="K35" s="241"/>
      <c r="L35" s="241"/>
      <c r="M35" s="241"/>
    </row>
    <row r="36" spans="2:17" ht="22.2" customHeight="1">
      <c r="B36" s="241"/>
      <c r="C36" s="916" t="s">
        <v>386</v>
      </c>
      <c r="D36" s="916"/>
      <c r="E36" s="917" t="str">
        <f>INDEX(Staffing!B22:N31,MATCH('WAY BILL'!C16,Staffing!D22:D31,0),6)</f>
        <v>MSDU121638/1</v>
      </c>
      <c r="F36" s="917"/>
      <c r="G36" s="243" t="s">
        <v>387</v>
      </c>
      <c r="H36" s="917" t="str">
        <f>INDEX(Staffing!B22:N31,MATCH('WAY BILL'!C16,Staffing!D22:D31,0),7)</f>
        <v>EU27646310</v>
      </c>
      <c r="I36" s="917"/>
      <c r="J36" s="241"/>
      <c r="K36" s="241"/>
      <c r="L36" s="241"/>
      <c r="M36" s="241"/>
    </row>
    <row r="37" spans="2:17" ht="6.6" customHeight="1">
      <c r="B37" s="241"/>
      <c r="C37" s="244"/>
      <c r="D37" s="241"/>
      <c r="E37" s="241"/>
      <c r="F37" s="241"/>
      <c r="G37" s="241"/>
      <c r="H37" s="241"/>
      <c r="I37" s="241"/>
      <c r="J37" s="241"/>
      <c r="K37" s="241"/>
      <c r="L37" s="241"/>
      <c r="M37" s="241"/>
    </row>
    <row r="38" spans="2:17" ht="33.6" customHeight="1">
      <c r="B38" s="241"/>
      <c r="C38" s="916" t="s">
        <v>386</v>
      </c>
      <c r="D38" s="916"/>
      <c r="E38" s="917" t="str">
        <f>INDEX(Staffing!B22:N31,MATCH('WAY BILL'!C16,Staffing!D22:D31,0)+1,6)</f>
        <v/>
      </c>
      <c r="F38" s="917"/>
      <c r="G38" s="243" t="s">
        <v>387</v>
      </c>
      <c r="H38" s="917" t="str">
        <f>INDEX(Staffing!B22:N31,MATCH('WAY BILL'!C16,Staffing!D22:D31,0)+1,7)</f>
        <v>-</v>
      </c>
      <c r="I38" s="917"/>
      <c r="J38" s="241"/>
      <c r="K38" s="241"/>
      <c r="L38" s="241"/>
      <c r="M38" s="241"/>
    </row>
    <row r="39" spans="2:17" ht="22.2" customHeight="1">
      <c r="B39" s="241"/>
      <c r="C39" s="252" t="s">
        <v>393</v>
      </c>
      <c r="D39" s="241"/>
      <c r="E39" s="241"/>
      <c r="F39" s="241"/>
      <c r="G39" s="241"/>
      <c r="H39" s="241"/>
      <c r="I39" s="241"/>
      <c r="J39" s="241"/>
      <c r="K39" s="241"/>
      <c r="L39" s="241"/>
      <c r="M39" s="241"/>
    </row>
    <row r="40" spans="2:17" ht="45.6" customHeight="1">
      <c r="B40" s="241"/>
      <c r="C40" s="241"/>
      <c r="D40" s="241"/>
      <c r="E40" s="241"/>
      <c r="F40" s="241"/>
      <c r="G40" s="241"/>
      <c r="H40" s="241"/>
      <c r="I40" s="241"/>
      <c r="J40" s="241"/>
      <c r="K40" s="241"/>
      <c r="L40" s="241"/>
      <c r="M40" s="241"/>
    </row>
    <row r="41" spans="2:17" ht="16.2" thickBot="1">
      <c r="B41" s="241"/>
      <c r="C41" s="245" t="s">
        <v>406</v>
      </c>
      <c r="D41" s="246"/>
      <c r="E41" s="246"/>
      <c r="F41" s="246"/>
      <c r="G41" s="241"/>
      <c r="H41" s="241"/>
      <c r="I41" s="241"/>
      <c r="J41" s="241"/>
      <c r="K41" s="247" t="str">
        <f>'Form Configuration'!B1</f>
        <v>PRAXIS  INTERNATIONAL BUSINESS PLC</v>
      </c>
      <c r="L41" s="241"/>
      <c r="M41" s="241"/>
    </row>
    <row r="42" spans="2:17" ht="10.8" customHeight="1">
      <c r="B42" s="241"/>
      <c r="C42" s="248"/>
      <c r="D42" s="241"/>
      <c r="E42" s="241"/>
      <c r="F42" s="241"/>
      <c r="G42" s="241"/>
      <c r="H42" s="241"/>
      <c r="I42" s="241"/>
      <c r="J42" s="241"/>
      <c r="K42" s="241"/>
      <c r="L42" s="241"/>
      <c r="M42" s="241"/>
    </row>
    <row r="43" spans="2:17" ht="16.2" thickBot="1">
      <c r="B43" s="241"/>
      <c r="C43" s="245" t="s">
        <v>403</v>
      </c>
      <c r="D43" s="246"/>
      <c r="E43" s="246"/>
      <c r="F43" s="246"/>
      <c r="G43" s="241"/>
      <c r="H43" s="241"/>
      <c r="I43" s="919" t="s">
        <v>403</v>
      </c>
      <c r="J43" s="919"/>
      <c r="K43" s="249"/>
      <c r="L43" s="246"/>
      <c r="M43" s="246"/>
    </row>
    <row r="44" spans="2:17" ht="9.6" customHeight="1">
      <c r="B44" s="241"/>
      <c r="C44" s="250"/>
      <c r="D44" s="241"/>
      <c r="E44" s="241"/>
      <c r="F44" s="241"/>
      <c r="G44" s="241"/>
      <c r="H44" s="241"/>
      <c r="I44" s="251"/>
      <c r="J44" s="250"/>
      <c r="K44" s="241"/>
      <c r="L44" s="241"/>
      <c r="M44" s="241"/>
    </row>
    <row r="45" spans="2:17" ht="19.8" customHeight="1" thickBot="1">
      <c r="B45" s="241"/>
      <c r="C45" s="245" t="s">
        <v>404</v>
      </c>
      <c r="D45" s="246"/>
      <c r="E45" s="246"/>
      <c r="F45" s="246"/>
      <c r="G45" s="241"/>
      <c r="H45" s="241"/>
      <c r="I45" s="919" t="s">
        <v>405</v>
      </c>
      <c r="J45" s="919"/>
      <c r="K45" s="249"/>
      <c r="L45" s="246"/>
      <c r="M45" s="246"/>
    </row>
    <row r="46" spans="2:17" ht="15.6">
      <c r="B46" s="241"/>
      <c r="C46" s="241"/>
      <c r="D46" s="241"/>
      <c r="E46" s="241"/>
      <c r="F46" s="241"/>
      <c r="G46" s="241"/>
      <c r="H46" s="241"/>
      <c r="I46" s="241"/>
      <c r="J46" s="241"/>
      <c r="K46" s="241"/>
      <c r="L46" s="241"/>
      <c r="M46" s="241"/>
      <c r="Q46" s="177"/>
    </row>
  </sheetData>
  <mergeCells count="19">
    <mergeCell ref="K2:N2"/>
    <mergeCell ref="I43:J43"/>
    <mergeCell ref="I45:J45"/>
    <mergeCell ref="F7:G7"/>
    <mergeCell ref="B25:M25"/>
    <mergeCell ref="C16:E16"/>
    <mergeCell ref="C36:D36"/>
    <mergeCell ref="C38:D38"/>
    <mergeCell ref="C14:E14"/>
    <mergeCell ref="C15:E15"/>
    <mergeCell ref="C17:E17"/>
    <mergeCell ref="C18:E18"/>
    <mergeCell ref="C19:E19"/>
    <mergeCell ref="B21:M21"/>
    <mergeCell ref="E36:F36"/>
    <mergeCell ref="M34:N34"/>
    <mergeCell ref="E38:F38"/>
    <mergeCell ref="H36:I36"/>
    <mergeCell ref="H38:I38"/>
  </mergeCells>
  <hyperlinks>
    <hyperlink ref="K2" r:id="rId1" xr:uid="{F028061D-81F2-4352-89DF-378ED399F4B3}"/>
  </hyperlinks>
  <pageMargins left="0" right="0" top="0.75" bottom="0.75" header="0.3" footer="0.3"/>
  <pageSetup scale="72" fitToHeight="0" orientation="portrait" r:id="rId2"/>
  <headerFooter>
    <oddHeader>&amp;L&amp;G</oddHeader>
    <oddFooter>&amp;C&amp;G</oddFooter>
  </headerFooter>
  <legacyDrawingHF r:id="rId3"/>
  <extLst>
    <ext xmlns:x14="http://schemas.microsoft.com/office/spreadsheetml/2009/9/main" uri="{CCE6A557-97BC-4b89-ADB6-D9C93CAAB3DF}">
      <x14:dataValidations xmlns:xm="http://schemas.microsoft.com/office/excel/2006/main" count="1">
        <x14:dataValidation type="list" allowBlank="1" showInputMessage="1" showErrorMessage="1" xr:uid="{2BF36E6D-9E52-4F04-BF6A-BE90247EC93C}">
          <x14:formula1>
            <xm:f>Staffing!$AI$6:$AI$10</xm:f>
          </x14:formula1>
          <xm:sqref>C16:E16</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8440D-C30B-4F02-A26F-69F9D973F90E}">
  <sheetPr codeName="Sheet16">
    <pageSetUpPr fitToPage="1"/>
  </sheetPr>
  <dimension ref="A2:Q112"/>
  <sheetViews>
    <sheetView view="pageBreakPreview" zoomScale="120" zoomScaleNormal="78" zoomScaleSheetLayoutView="120" workbookViewId="0">
      <selection activeCell="D55" sqref="D55:E55"/>
    </sheetView>
  </sheetViews>
  <sheetFormatPr defaultColWidth="9.33203125" defaultRowHeight="13.2"/>
  <cols>
    <col min="1" max="1" width="9.33203125" style="67"/>
    <col min="2" max="2" width="17.33203125" style="67" customWidth="1"/>
    <col min="3" max="3" width="18.109375" style="67" customWidth="1"/>
    <col min="4" max="4" width="14.109375" style="67" customWidth="1"/>
    <col min="5" max="5" width="16.109375" style="67" customWidth="1"/>
    <col min="6" max="6" width="13.6640625" style="67" customWidth="1"/>
    <col min="7" max="7" width="27.77734375" style="67" customWidth="1"/>
    <col min="8" max="8" width="4.6640625" style="67" customWidth="1"/>
    <col min="9" max="9" width="3.33203125" style="67" customWidth="1"/>
    <col min="10" max="10" width="1.109375" style="67" customWidth="1"/>
    <col min="11" max="16384" width="9.33203125" style="67"/>
  </cols>
  <sheetData>
    <row r="2" spans="2:17">
      <c r="Q2" s="67" t="s">
        <v>420</v>
      </c>
    </row>
    <row r="3" spans="2:17">
      <c r="Q3" s="67" t="s">
        <v>421</v>
      </c>
    </row>
    <row r="4" spans="2:17" ht="17.399999999999999" customHeight="1">
      <c r="C4" s="930" t="s">
        <v>320</v>
      </c>
      <c r="D4" s="930"/>
      <c r="E4" s="930"/>
      <c r="F4" s="930"/>
    </row>
    <row r="5" spans="2:17" ht="17.399999999999999" customHeight="1">
      <c r="C5" s="931" t="s">
        <v>291</v>
      </c>
      <c r="D5" s="931"/>
      <c r="E5" s="931"/>
      <c r="F5" s="931"/>
    </row>
    <row r="6" spans="2:17" ht="15.6" customHeight="1">
      <c r="C6" s="932" t="s">
        <v>321</v>
      </c>
      <c r="D6" s="932"/>
      <c r="E6" s="932"/>
      <c r="F6" s="932"/>
    </row>
    <row r="7" spans="2:17" ht="15.6">
      <c r="C7" s="164"/>
    </row>
    <row r="8" spans="2:17" ht="18" customHeight="1">
      <c r="B8" s="276" t="s">
        <v>322</v>
      </c>
      <c r="D8" s="166"/>
      <c r="G8" s="314" t="s">
        <v>323</v>
      </c>
    </row>
    <row r="9" spans="2:17" ht="16.8" customHeight="1">
      <c r="B9" s="276" t="s">
        <v>324</v>
      </c>
      <c r="D9" s="165"/>
      <c r="F9" s="275" t="s">
        <v>415</v>
      </c>
      <c r="G9" s="278">
        <v>23</v>
      </c>
    </row>
    <row r="10" spans="2:17" ht="15.6" customHeight="1">
      <c r="B10" s="276" t="s">
        <v>325</v>
      </c>
      <c r="D10" s="165"/>
      <c r="F10" s="275" t="s">
        <v>326</v>
      </c>
      <c r="G10" s="168"/>
    </row>
    <row r="11" spans="2:17" ht="15.6" customHeight="1">
      <c r="B11" s="276" t="s">
        <v>417</v>
      </c>
      <c r="D11" s="165"/>
      <c r="F11" s="275" t="s">
        <v>416</v>
      </c>
      <c r="G11" s="168"/>
    </row>
    <row r="12" spans="2:17" ht="13.8" customHeight="1">
      <c r="B12" s="277" t="s">
        <v>418</v>
      </c>
      <c r="D12" s="166"/>
    </row>
    <row r="13" spans="2:17" ht="13.8" customHeight="1">
      <c r="B13" s="276" t="s">
        <v>327</v>
      </c>
      <c r="D13" s="166"/>
      <c r="F13" s="275"/>
    </row>
    <row r="14" spans="2:17" ht="17.399999999999999" customHeight="1">
      <c r="C14" s="311"/>
      <c r="D14" s="938" t="s">
        <v>328</v>
      </c>
      <c r="E14" s="938"/>
      <c r="F14" s="311"/>
      <c r="G14" s="311"/>
    </row>
    <row r="15" spans="2:17" ht="23.1" customHeight="1">
      <c r="C15" s="311"/>
      <c r="D15" s="939" t="s">
        <v>329</v>
      </c>
      <c r="E15" s="939"/>
      <c r="F15" s="311"/>
      <c r="G15" s="311"/>
    </row>
    <row r="16" spans="2:17" ht="18" customHeight="1">
      <c r="B16" s="167"/>
      <c r="C16" s="311"/>
      <c r="D16" s="311"/>
      <c r="E16" s="311"/>
      <c r="F16" s="311"/>
      <c r="G16" s="311"/>
    </row>
    <row r="17" spans="2:7" ht="18" customHeight="1">
      <c r="B17" s="167"/>
      <c r="C17" s="933" t="s">
        <v>330</v>
      </c>
      <c r="D17" s="933"/>
      <c r="E17" s="933"/>
      <c r="F17" s="933"/>
      <c r="G17" s="311"/>
    </row>
    <row r="18" spans="2:7" ht="18.899999999999999" customHeight="1">
      <c r="C18" s="312" t="s">
        <v>437</v>
      </c>
      <c r="D18" s="311"/>
      <c r="E18" s="311"/>
      <c r="F18" s="311"/>
      <c r="G18" s="311"/>
    </row>
    <row r="19" spans="2:7" ht="18.899999999999999" customHeight="1">
      <c r="B19" s="169"/>
    </row>
    <row r="20" spans="2:7" ht="17.100000000000001" customHeight="1">
      <c r="B20" s="171" t="s">
        <v>412</v>
      </c>
    </row>
    <row r="21" spans="2:7" ht="17.100000000000001" customHeight="1">
      <c r="B21" s="171" t="s">
        <v>414</v>
      </c>
    </row>
    <row r="22" spans="2:7" ht="17.100000000000001" customHeight="1" thickBot="1">
      <c r="B22" s="268" t="s">
        <v>413</v>
      </c>
      <c r="C22" s="268"/>
      <c r="D22" s="941"/>
      <c r="E22" s="941"/>
      <c r="F22" s="171" t="s">
        <v>331</v>
      </c>
      <c r="G22" s="269"/>
    </row>
    <row r="23" spans="2:7" ht="17.100000000000001" customHeight="1" thickBot="1">
      <c r="B23" s="171" t="s">
        <v>332</v>
      </c>
      <c r="C23" s="269"/>
      <c r="D23" s="171" t="s">
        <v>333</v>
      </c>
      <c r="E23" s="270"/>
      <c r="F23" s="171" t="s">
        <v>334</v>
      </c>
      <c r="G23" s="270"/>
    </row>
    <row r="24" spans="2:7" ht="17.100000000000001" customHeight="1">
      <c r="B24" s="268" t="s">
        <v>335</v>
      </c>
      <c r="C24" s="268"/>
      <c r="D24" s="268"/>
      <c r="E24" s="268"/>
      <c r="F24" s="268"/>
      <c r="G24" s="268"/>
    </row>
    <row r="25" spans="2:7" ht="17.100000000000001" customHeight="1">
      <c r="B25" s="268" t="s">
        <v>336</v>
      </c>
      <c r="C25" s="268"/>
      <c r="D25" s="268"/>
      <c r="E25" s="268"/>
      <c r="F25" s="268"/>
      <c r="G25" s="268"/>
    </row>
    <row r="26" spans="2:7" ht="17.100000000000001" customHeight="1"/>
    <row r="27" spans="2:7" ht="17.100000000000001" customHeight="1">
      <c r="B27" s="940" t="s">
        <v>337</v>
      </c>
      <c r="C27" s="940"/>
      <c r="D27" s="940"/>
      <c r="E27" s="940"/>
      <c r="F27" s="940"/>
      <c r="G27" s="940"/>
    </row>
    <row r="28" spans="2:7" ht="17.100000000000001" customHeight="1">
      <c r="B28" s="940"/>
      <c r="C28" s="940"/>
      <c r="D28" s="940"/>
      <c r="E28" s="940"/>
      <c r="F28" s="940"/>
      <c r="G28" s="940"/>
    </row>
    <row r="29" spans="2:7" ht="17.100000000000001" customHeight="1">
      <c r="B29" s="940"/>
      <c r="C29" s="940"/>
      <c r="D29" s="940"/>
      <c r="E29" s="940"/>
      <c r="F29" s="940"/>
      <c r="G29" s="940"/>
    </row>
    <row r="30" spans="2:7" ht="17.100000000000001" customHeight="1">
      <c r="B30" s="940"/>
      <c r="C30" s="940"/>
      <c r="D30" s="940"/>
      <c r="E30" s="940"/>
      <c r="F30" s="940"/>
      <c r="G30" s="940"/>
    </row>
    <row r="31" spans="2:7" ht="17.100000000000001" customHeight="1">
      <c r="B31" s="940"/>
      <c r="C31" s="940"/>
      <c r="D31" s="940"/>
      <c r="E31" s="940"/>
      <c r="F31" s="940"/>
      <c r="G31" s="940"/>
    </row>
    <row r="32" spans="2:7" ht="17.100000000000001" customHeight="1">
      <c r="B32" s="940"/>
      <c r="C32" s="940"/>
      <c r="D32" s="940"/>
      <c r="E32" s="940"/>
      <c r="F32" s="940"/>
      <c r="G32" s="940"/>
    </row>
    <row r="33" spans="2:7" ht="14.1" customHeight="1">
      <c r="B33" s="940"/>
      <c r="C33" s="940"/>
      <c r="D33" s="940"/>
      <c r="E33" s="940"/>
      <c r="F33" s="940"/>
      <c r="G33" s="940"/>
    </row>
    <row r="34" spans="2:7" ht="7.8" customHeight="1">
      <c r="B34" s="940"/>
      <c r="C34" s="940"/>
      <c r="D34" s="940"/>
      <c r="E34" s="940"/>
      <c r="F34" s="940"/>
      <c r="G34" s="940"/>
    </row>
    <row r="35" spans="2:7" ht="14.4" customHeight="1">
      <c r="B35" s="940"/>
      <c r="C35" s="940"/>
      <c r="D35" s="940"/>
      <c r="E35" s="940"/>
      <c r="F35" s="940"/>
      <c r="G35" s="940"/>
    </row>
    <row r="36" spans="2:7" ht="14.4" customHeight="1">
      <c r="B36" s="172"/>
      <c r="C36" s="172"/>
      <c r="D36" s="172"/>
      <c r="E36" s="172"/>
      <c r="F36" s="172"/>
      <c r="G36" s="172"/>
    </row>
    <row r="37" spans="2:7" ht="15.9" customHeight="1" thickBot="1">
      <c r="B37" s="124"/>
      <c r="C37" s="269" t="str">
        <f>'Contract-SI-LC'!K13</f>
        <v>UNWASHED DJIMMAH</v>
      </c>
      <c r="F37" s="269" t="str">
        <f>'Contract-SI-LC'!K14</f>
        <v>FIVE(5)</v>
      </c>
    </row>
    <row r="38" spans="2:7" ht="15.9" customHeight="1">
      <c r="C38" s="124" t="s">
        <v>338</v>
      </c>
      <c r="F38" s="128" t="s">
        <v>339</v>
      </c>
    </row>
    <row r="39" spans="2:7" ht="15.9" customHeight="1">
      <c r="C39" s="124"/>
      <c r="F39" s="128"/>
    </row>
    <row r="40" spans="2:7" ht="21.9" customHeight="1">
      <c r="D40" s="67" t="s">
        <v>340</v>
      </c>
    </row>
    <row r="41" spans="2:7" ht="12" customHeight="1"/>
    <row r="42" spans="2:7" ht="21.9" customHeight="1">
      <c r="B42" s="934" t="s">
        <v>341</v>
      </c>
      <c r="C42" s="935"/>
      <c r="D42" s="935"/>
      <c r="E42" s="936"/>
      <c r="F42" s="936"/>
      <c r="G42" s="937"/>
    </row>
    <row r="43" spans="2:7" ht="21.9" customHeight="1">
      <c r="B43" s="923" t="s">
        <v>342</v>
      </c>
      <c r="C43" s="173" t="s">
        <v>343</v>
      </c>
      <c r="D43" s="174"/>
      <c r="E43" s="925" t="s">
        <v>344</v>
      </c>
      <c r="F43" s="925"/>
      <c r="G43" s="925"/>
    </row>
    <row r="44" spans="2:7" ht="21.9" customHeight="1">
      <c r="B44" s="924"/>
      <c r="C44" s="273" t="s">
        <v>345</v>
      </c>
      <c r="D44" s="273" t="s">
        <v>346</v>
      </c>
      <c r="E44" s="925"/>
      <c r="F44" s="925"/>
      <c r="G44" s="925"/>
    </row>
    <row r="45" spans="2:7" ht="19.8" customHeight="1">
      <c r="B45" s="271" t="str">
        <f>CONCATENATE(Contract!D18/Contract!D34," ",  Contract!D17)</f>
        <v>320 Bag of 60Kg</v>
      </c>
      <c r="C45" s="274" t="str">
        <f>CONCATENATE(Contract!H26/Contract!D34," KGS")</f>
        <v>19440 KGS</v>
      </c>
      <c r="D45" s="274" t="str">
        <f>CONCATENATE(Contract!D26/Contract!D34," KGS")</f>
        <v>19200 KGS</v>
      </c>
      <c r="E45" s="926" t="str">
        <f>CONCATENATE('Form Configuration'!B1,CHAR(10),"ETHIOPIA ARABICA COFFEE ",'Contract-SI-LC'!K13," GRADE ",Contract!D38,CHAR(10),"ICO NO- 010/1116/","00",COCG!G9,CHAR(10),"CERT NO-","00",COCG!G9,CHAR(10),"CROP YEAR-",'Contract-SI-LC'!F37,CHAR(10),"NET WEIFGHT - ",'Certificate of Weight'!F25," KG ",CHAR(10),"GROSS WEIGHT ",'Certificate of Weight'!G25," KG ",CHAR(10),"DESTINATION -", 'Contract-SI-LC'!K20)</f>
        <v>PRAXIS  INTERNATIONAL BUSINESS PLC
ETHIOPIA ARABICA COFFEE UNWASHED DJIMMAH GRADE FIVE(5)
ICO NO- 010/1116/0023
CERT NO-0023
CROP YEAR-
NET WEIFGHT - 60 KG 
GROSS WEIGHT 60.75 KG 
DESTINATION -0</v>
      </c>
      <c r="F45" s="926"/>
      <c r="G45" s="927"/>
    </row>
    <row r="46" spans="2:7" ht="19.8" customHeight="1">
      <c r="B46" s="271"/>
      <c r="C46" s="274" t="s">
        <v>385</v>
      </c>
      <c r="D46" s="274"/>
      <c r="E46" s="926"/>
      <c r="F46" s="926"/>
      <c r="G46" s="927"/>
    </row>
    <row r="47" spans="2:7" ht="19.8" customHeight="1">
      <c r="B47" s="272"/>
      <c r="C47" s="274"/>
      <c r="D47" s="274"/>
      <c r="E47" s="926"/>
      <c r="F47" s="926"/>
      <c r="G47" s="927"/>
    </row>
    <row r="48" spans="2:7" ht="19.8" customHeight="1">
      <c r="B48" s="272"/>
      <c r="C48" s="274"/>
      <c r="D48" s="274"/>
      <c r="E48" s="926"/>
      <c r="F48" s="926"/>
      <c r="G48" s="927"/>
    </row>
    <row r="49" spans="2:8" ht="19.8" customHeight="1">
      <c r="B49" s="272"/>
      <c r="C49" s="274"/>
      <c r="D49" s="274"/>
      <c r="E49" s="926"/>
      <c r="F49" s="926"/>
      <c r="G49" s="927"/>
    </row>
    <row r="50" spans="2:8" ht="19.8" customHeight="1">
      <c r="B50" s="272"/>
      <c r="C50" s="274"/>
      <c r="D50" s="274"/>
      <c r="E50" s="928"/>
      <c r="F50" s="928"/>
      <c r="G50" s="929"/>
    </row>
    <row r="51" spans="2:8" ht="21" customHeight="1">
      <c r="D51" s="920"/>
      <c r="E51" s="920"/>
      <c r="F51" s="920"/>
      <c r="G51" s="920"/>
      <c r="H51" s="920"/>
    </row>
    <row r="52" spans="2:8" ht="21.9" customHeight="1">
      <c r="D52" s="920"/>
      <c r="E52" s="920"/>
      <c r="F52" s="921" t="s">
        <v>347</v>
      </c>
      <c r="G52" s="921"/>
      <c r="H52" s="921"/>
    </row>
    <row r="53" spans="2:8" ht="21.9" customHeight="1">
      <c r="D53" s="920"/>
      <c r="E53" s="920"/>
      <c r="F53" s="921" t="s">
        <v>348</v>
      </c>
      <c r="G53" s="921"/>
      <c r="H53" s="921"/>
    </row>
    <row r="54" spans="2:8" ht="22.8" customHeight="1">
      <c r="D54" s="922" t="s">
        <v>349</v>
      </c>
      <c r="E54" s="922"/>
      <c r="F54" s="920"/>
      <c r="G54" s="920"/>
      <c r="H54" s="920"/>
    </row>
    <row r="55" spans="2:8" ht="21" customHeight="1">
      <c r="D55" s="920"/>
      <c r="E55" s="920"/>
      <c r="F55" s="920"/>
      <c r="G55" s="920"/>
      <c r="H55" s="920"/>
    </row>
    <row r="56" spans="2:8" ht="17.100000000000001" customHeight="1">
      <c r="B56" s="130"/>
      <c r="E56" s="128" t="s">
        <v>350</v>
      </c>
    </row>
    <row r="57" spans="2:8" ht="14.1" customHeight="1">
      <c r="E57" s="131" t="s">
        <v>351</v>
      </c>
    </row>
    <row r="58" spans="2:8" ht="17.100000000000001" customHeight="1">
      <c r="E58" s="67" t="s">
        <v>352</v>
      </c>
    </row>
    <row r="59" spans="2:8" ht="17.399999999999999">
      <c r="C59" s="930"/>
      <c r="D59" s="930"/>
      <c r="E59" s="930"/>
      <c r="F59" s="930"/>
    </row>
    <row r="60" spans="2:8" ht="17.399999999999999">
      <c r="C60" s="931"/>
      <c r="D60" s="931"/>
      <c r="E60" s="931"/>
      <c r="F60" s="931"/>
    </row>
    <row r="61" spans="2:8" ht="15.6">
      <c r="C61" s="932"/>
      <c r="D61" s="932"/>
      <c r="E61" s="932"/>
      <c r="F61" s="932"/>
    </row>
    <row r="62" spans="2:8" ht="15.6">
      <c r="C62" s="164"/>
      <c r="E62" s="281"/>
      <c r="F62" s="281"/>
      <c r="G62" s="281"/>
    </row>
    <row r="63" spans="2:8" ht="13.2" customHeight="1">
      <c r="B63" s="276"/>
      <c r="C63" s="67" t="str">
        <f>IFERROR(IF(O65="Yes",INDEX(Staffing!B22:J31,MATCH(G9,Staffing!I22:I31,0),3),""),"")</f>
        <v>ABEBE DEJENE</v>
      </c>
      <c r="D63" s="166"/>
      <c r="E63" s="281"/>
      <c r="F63" s="281"/>
      <c r="G63" s="281"/>
    </row>
    <row r="64" spans="2:8" ht="16.8" customHeight="1">
      <c r="B64" s="276"/>
      <c r="C64" s="67" t="str">
        <f>IFERROR(IF(O65="Yes",IF(INDEX(Staffing!B22:J31,MATCH(G9,Staffing!I22:I31,0),1)="TRUCK",INDEX(Staffing!B22:J31,MATCH(G9,Staffing!I22:I31,0),2),""),""),"")</f>
        <v/>
      </c>
      <c r="D64" s="165"/>
      <c r="E64" s="281"/>
      <c r="F64" s="281"/>
      <c r="G64" s="281"/>
    </row>
    <row r="65" spans="2:15" ht="13.8">
      <c r="B65" s="276"/>
      <c r="C65" s="67" t="str">
        <f>IFERROR(IF(O65="Yes",IF(INDEX(Staffing!B22:J31,MATCH(G9,Staffing!I22:I31,0),1)="TRAILER",INDEX(Staffing!B22:J31,MATCH(G9,Staffing!I22:I31,0),2),""),""),"")</f>
        <v/>
      </c>
      <c r="D65" s="165"/>
      <c r="E65" s="281"/>
      <c r="F65" s="281"/>
      <c r="G65" s="281"/>
      <c r="N65" s="279" t="s">
        <v>419</v>
      </c>
      <c r="O65" s="279" t="s">
        <v>420</v>
      </c>
    </row>
    <row r="66" spans="2:15" ht="13.8">
      <c r="B66" s="276"/>
      <c r="C66" s="67" t="str">
        <f>IFERROR(IF(O65="Yes",INDEX(Staffing!B22:J31,MATCH(G9,Staffing!I22:I31,0),6),""),"")</f>
        <v>MSDU121638/1</v>
      </c>
      <c r="D66" s="165"/>
      <c r="E66" s="281"/>
      <c r="F66" s="281"/>
      <c r="G66" s="281"/>
    </row>
    <row r="67" spans="2:15" ht="13.2" customHeight="1">
      <c r="B67" s="277"/>
      <c r="C67" s="67" t="str">
        <f>IFERROR(IF(O65="Yes",INDEX(Staffing!B22:J31,MATCH(G9,Staffing!I22:I31,0),7),""),"")</f>
        <v>EU27646310</v>
      </c>
      <c r="D67" s="166"/>
      <c r="E67" s="281"/>
      <c r="F67" s="281"/>
      <c r="G67" s="281"/>
    </row>
    <row r="68" spans="2:15" ht="13.2" customHeight="1">
      <c r="B68" s="276"/>
      <c r="C68" s="67">
        <f>IF(O65="Yes",IF(G9="","",'Contract-SI-LC'!K24),"")</f>
        <v>0</v>
      </c>
      <c r="D68" s="166"/>
      <c r="E68" s="281"/>
      <c r="F68" s="281"/>
      <c r="G68" s="281"/>
    </row>
    <row r="69" spans="2:15" ht="20.399999999999999">
      <c r="D69" s="942"/>
      <c r="E69" s="942"/>
    </row>
    <row r="70" spans="2:15" ht="20.399999999999999">
      <c r="D70" s="943"/>
      <c r="E70" s="943"/>
    </row>
    <row r="71" spans="2:15" ht="16.8">
      <c r="B71" s="167"/>
    </row>
    <row r="72" spans="2:15" ht="19.2">
      <c r="B72" s="167"/>
      <c r="C72" s="944"/>
      <c r="D72" s="944"/>
      <c r="E72" s="944"/>
      <c r="F72" s="944"/>
    </row>
    <row r="73" spans="2:15" ht="15">
      <c r="C73" s="170"/>
    </row>
    <row r="74" spans="2:15" ht="19.2">
      <c r="B74" s="169"/>
    </row>
    <row r="75" spans="2:15" ht="14.4" customHeight="1">
      <c r="B75" s="268"/>
      <c r="C75" s="268"/>
      <c r="D75" s="268"/>
      <c r="E75" s="268"/>
      <c r="F75" s="268"/>
      <c r="G75" s="268"/>
    </row>
    <row r="76" spans="2:15" ht="14.4" customHeight="1">
      <c r="B76" s="268"/>
      <c r="C76" s="268"/>
      <c r="D76" s="268"/>
      <c r="E76" s="268"/>
      <c r="F76" s="268"/>
      <c r="G76" s="268"/>
    </row>
    <row r="77" spans="2:15" ht="14.4" customHeight="1">
      <c r="B77" s="268"/>
      <c r="C77" s="268"/>
      <c r="D77" s="268"/>
      <c r="E77" s="268"/>
      <c r="F77" s="268"/>
      <c r="G77" s="268"/>
    </row>
    <row r="78" spans="2:15" ht="14.4" customHeight="1">
      <c r="B78" s="268"/>
      <c r="C78" s="268"/>
      <c r="D78" s="268"/>
      <c r="E78" s="268"/>
      <c r="F78" s="268"/>
      <c r="G78" s="268"/>
    </row>
    <row r="79" spans="2:15" ht="14.4" customHeight="1">
      <c r="B79" s="268"/>
      <c r="C79" s="268"/>
      <c r="D79" s="268"/>
      <c r="E79" s="268"/>
      <c r="F79" s="268"/>
      <c r="G79" s="268"/>
    </row>
    <row r="80" spans="2:15" ht="14.4" customHeight="1">
      <c r="B80" s="268"/>
      <c r="C80" s="268"/>
      <c r="D80" s="268"/>
      <c r="E80" s="268"/>
      <c r="F80" s="268"/>
      <c r="G80" s="268"/>
    </row>
    <row r="81" spans="1:8" ht="14.4" customHeight="1">
      <c r="B81" s="268"/>
      <c r="C81" s="268"/>
      <c r="D81" s="268"/>
      <c r="E81" s="268"/>
      <c r="F81" s="268"/>
      <c r="G81" s="268"/>
    </row>
    <row r="82" spans="1:8" ht="13.2" customHeight="1">
      <c r="B82" s="268"/>
      <c r="C82" s="268"/>
      <c r="D82" s="268"/>
      <c r="E82" s="268"/>
      <c r="F82" s="268"/>
      <c r="G82" s="268"/>
    </row>
    <row r="83" spans="1:8" ht="13.2" customHeight="1">
      <c r="B83" s="268"/>
      <c r="C83" s="268"/>
      <c r="D83" s="268"/>
      <c r="E83" s="268"/>
      <c r="F83" s="268"/>
      <c r="G83" s="268"/>
    </row>
    <row r="84" spans="1:8" ht="13.2" customHeight="1">
      <c r="B84" s="268"/>
      <c r="C84" s="268"/>
      <c r="D84" s="268"/>
      <c r="E84" s="268"/>
      <c r="F84" s="268"/>
      <c r="G84" s="268"/>
    </row>
    <row r="85" spans="1:8" ht="13.2" customHeight="1">
      <c r="B85" s="268"/>
      <c r="C85" s="268"/>
      <c r="D85" s="268"/>
      <c r="E85" s="268"/>
      <c r="F85" s="268"/>
      <c r="G85" s="268"/>
    </row>
    <row r="86" spans="1:8" ht="13.2" customHeight="1">
      <c r="B86" s="268"/>
      <c r="C86" s="268"/>
      <c r="D86" s="268"/>
      <c r="E86" s="268"/>
      <c r="F86" s="268"/>
      <c r="G86" s="268"/>
    </row>
    <row r="87" spans="1:8" ht="13.2" customHeight="1">
      <c r="B87" s="268"/>
      <c r="C87" s="268"/>
      <c r="D87" s="268"/>
      <c r="E87" s="268"/>
      <c r="F87" s="268"/>
      <c r="G87" s="268"/>
    </row>
    <row r="88" spans="1:8" ht="13.2" customHeight="1">
      <c r="B88" s="268"/>
      <c r="C88" s="268"/>
      <c r="D88" s="268"/>
      <c r="E88" s="268"/>
      <c r="F88" s="268"/>
      <c r="G88" s="268"/>
    </row>
    <row r="89" spans="1:8" ht="13.2" customHeight="1">
      <c r="B89" s="268"/>
      <c r="C89" s="268"/>
      <c r="D89" s="268"/>
      <c r="E89" s="268"/>
      <c r="F89" s="268"/>
      <c r="G89" s="268"/>
    </row>
    <row r="90" spans="1:8" ht="13.2" customHeight="1">
      <c r="B90" s="268"/>
      <c r="C90" s="268"/>
      <c r="D90" s="268"/>
      <c r="E90" s="268"/>
      <c r="F90" s="268"/>
      <c r="G90" s="268"/>
    </row>
    <row r="91" spans="1:8" ht="14.4" customHeight="1">
      <c r="B91" s="268"/>
      <c r="C91" s="268"/>
      <c r="D91" s="268"/>
      <c r="E91" s="268"/>
      <c r="F91" s="268"/>
      <c r="G91" s="268"/>
    </row>
    <row r="92" spans="1:8" ht="14.4" customHeight="1">
      <c r="B92" s="268"/>
      <c r="C92" s="268"/>
      <c r="D92" s="268"/>
      <c r="E92" s="268"/>
      <c r="F92" s="268"/>
      <c r="G92" s="268"/>
    </row>
    <row r="93" spans="1:8" ht="14.4" customHeight="1">
      <c r="B93" s="268"/>
      <c r="C93" s="268"/>
      <c r="D93" s="268"/>
      <c r="E93" s="268"/>
      <c r="F93" s="268"/>
      <c r="G93" s="268"/>
    </row>
    <row r="94" spans="1:8" ht="13.8" customHeight="1">
      <c r="A94" s="280"/>
      <c r="B94" s="280"/>
      <c r="C94" s="280"/>
      <c r="D94" s="280"/>
      <c r="E94" s="280"/>
      <c r="F94" s="280"/>
      <c r="G94" s="280"/>
      <c r="H94" s="280"/>
    </row>
    <row r="95" spans="1:8">
      <c r="A95" s="280"/>
      <c r="B95" s="280"/>
      <c r="C95" s="280"/>
      <c r="D95" s="280"/>
      <c r="E95" s="280"/>
      <c r="F95" s="280"/>
      <c r="G95" s="280"/>
      <c r="H95" s="280"/>
    </row>
    <row r="96" spans="1:8">
      <c r="A96" s="280"/>
      <c r="B96" s="280"/>
      <c r="C96" s="280"/>
      <c r="D96" s="280"/>
      <c r="E96" s="280"/>
      <c r="F96" s="280"/>
      <c r="G96" s="280"/>
      <c r="H96" s="280"/>
    </row>
    <row r="97" spans="1:8">
      <c r="A97" s="280"/>
      <c r="B97" s="280"/>
      <c r="C97" s="280"/>
      <c r="D97" s="280"/>
      <c r="E97" s="280"/>
      <c r="F97" s="280"/>
      <c r="G97" s="280"/>
      <c r="H97" s="280"/>
    </row>
    <row r="98" spans="1:8">
      <c r="A98" s="280"/>
      <c r="B98" s="280"/>
      <c r="C98" s="280"/>
      <c r="D98" s="280"/>
      <c r="E98" s="280"/>
      <c r="F98" s="280"/>
      <c r="G98" s="280"/>
      <c r="H98" s="280"/>
    </row>
    <row r="99" spans="1:8">
      <c r="A99" s="280"/>
      <c r="B99" s="280"/>
      <c r="C99" s="280"/>
      <c r="D99" s="280"/>
      <c r="E99" s="280"/>
      <c r="F99" s="280"/>
      <c r="G99" s="280"/>
      <c r="H99" s="280"/>
    </row>
    <row r="100" spans="1:8" ht="13.8" customHeight="1">
      <c r="A100" s="280"/>
      <c r="B100" s="280"/>
      <c r="C100" s="280"/>
      <c r="D100" s="280"/>
      <c r="E100" s="280"/>
      <c r="F100" s="280"/>
      <c r="G100" s="280"/>
      <c r="H100" s="280"/>
    </row>
    <row r="101" spans="1:8" ht="13.8" customHeight="1">
      <c r="A101" s="280"/>
      <c r="B101" s="280"/>
      <c r="C101" s="280"/>
      <c r="D101" s="280"/>
      <c r="E101" s="280"/>
      <c r="F101" s="280"/>
      <c r="G101" s="280"/>
      <c r="H101" s="280"/>
    </row>
    <row r="102" spans="1:8" ht="13.8" customHeight="1">
      <c r="A102" s="280"/>
      <c r="B102" s="280"/>
      <c r="C102" s="280"/>
      <c r="D102" s="280"/>
      <c r="E102" s="280"/>
      <c r="F102" s="280"/>
      <c r="G102" s="280"/>
      <c r="H102" s="280"/>
    </row>
    <row r="103" spans="1:8" ht="13.8" customHeight="1">
      <c r="A103" s="280"/>
      <c r="B103" s="280"/>
      <c r="C103" s="280"/>
      <c r="D103" s="280"/>
      <c r="E103" s="280"/>
      <c r="F103" s="280"/>
      <c r="G103" s="280"/>
      <c r="H103" s="280"/>
    </row>
    <row r="104" spans="1:8" ht="13.8" customHeight="1">
      <c r="A104" s="280"/>
      <c r="B104" s="280"/>
      <c r="C104" s="280"/>
      <c r="D104" s="280"/>
      <c r="E104" s="280"/>
      <c r="F104" s="280"/>
      <c r="G104" s="280"/>
      <c r="H104" s="280"/>
    </row>
    <row r="105" spans="1:8" ht="13.8" customHeight="1">
      <c r="A105" s="280"/>
      <c r="B105" s="280"/>
      <c r="C105" s="280"/>
      <c r="D105" s="280"/>
      <c r="E105" s="280"/>
      <c r="F105" s="280"/>
      <c r="G105" s="280"/>
      <c r="H105" s="280"/>
    </row>
    <row r="106" spans="1:8">
      <c r="A106" s="280"/>
      <c r="B106" s="280"/>
      <c r="C106" s="280"/>
      <c r="D106" s="280"/>
      <c r="E106" s="280"/>
      <c r="F106" s="280"/>
      <c r="G106" s="280"/>
      <c r="H106" s="280"/>
    </row>
    <row r="107" spans="1:8" ht="13.8" customHeight="1">
      <c r="A107" s="280"/>
      <c r="B107" s="280"/>
      <c r="C107" s="280"/>
      <c r="D107" s="280"/>
      <c r="E107" s="280"/>
      <c r="F107" s="280"/>
      <c r="G107" s="280"/>
      <c r="H107" s="280"/>
    </row>
    <row r="108" spans="1:8" ht="13.8" customHeight="1">
      <c r="A108" s="280"/>
      <c r="B108" s="280"/>
      <c r="C108" s="280"/>
      <c r="D108" s="280"/>
      <c r="E108" s="280"/>
      <c r="F108" s="280"/>
      <c r="G108" s="280"/>
      <c r="H108" s="280"/>
    </row>
    <row r="109" spans="1:8" ht="14.4" customHeight="1">
      <c r="A109" s="280"/>
      <c r="B109" s="280"/>
      <c r="C109" s="280"/>
      <c r="D109" s="280"/>
      <c r="E109" s="280"/>
      <c r="F109" s="280"/>
      <c r="G109" s="280"/>
      <c r="H109" s="280"/>
    </row>
    <row r="110" spans="1:8">
      <c r="D110" s="920"/>
      <c r="E110" s="920"/>
      <c r="F110" s="920"/>
      <c r="G110" s="920"/>
      <c r="H110" s="920"/>
    </row>
    <row r="111" spans="1:8" ht="16.8">
      <c r="B111" s="130"/>
      <c r="E111" s="128"/>
    </row>
    <row r="112" spans="1:8">
      <c r="E112" s="131"/>
    </row>
  </sheetData>
  <mergeCells count="29">
    <mergeCell ref="D110:E110"/>
    <mergeCell ref="F110:H110"/>
    <mergeCell ref="C59:F59"/>
    <mergeCell ref="C61:F61"/>
    <mergeCell ref="D69:E69"/>
    <mergeCell ref="D70:E70"/>
    <mergeCell ref="C72:F72"/>
    <mergeCell ref="C60:F60"/>
    <mergeCell ref="C4:F4"/>
    <mergeCell ref="C5:F5"/>
    <mergeCell ref="C6:F6"/>
    <mergeCell ref="C17:F17"/>
    <mergeCell ref="B42:G42"/>
    <mergeCell ref="D14:E14"/>
    <mergeCell ref="D15:E15"/>
    <mergeCell ref="B27:G35"/>
    <mergeCell ref="D22:E22"/>
    <mergeCell ref="B43:B44"/>
    <mergeCell ref="E43:G44"/>
    <mergeCell ref="E45:G50"/>
    <mergeCell ref="D51:H51"/>
    <mergeCell ref="D52:E52"/>
    <mergeCell ref="F52:H52"/>
    <mergeCell ref="D53:E53"/>
    <mergeCell ref="F53:H53"/>
    <mergeCell ref="D54:E54"/>
    <mergeCell ref="F54:H54"/>
    <mergeCell ref="D55:E55"/>
    <mergeCell ref="F55:H55"/>
  </mergeCells>
  <dataValidations count="1">
    <dataValidation type="list" allowBlank="1" showInputMessage="1" showErrorMessage="1" sqref="O65" xr:uid="{4BF1AD58-C101-4545-930F-990EE1F4795F}">
      <formula1>$Q$2:$Q$3</formula1>
    </dataValidation>
  </dataValidations>
  <printOptions horizontalCentered="1"/>
  <pageMargins left="0" right="0" top="0" bottom="0" header="0" footer="0"/>
  <pageSetup paperSize="9" scale="83" fitToHeight="0"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7289C2AF-59B2-4172-8B1C-762C0FD4AC1C}">
          <x14:formula1>
            <xm:f>Staffing!$I$22:$I$31</xm:f>
          </x14:formula1>
          <xm:sqref>G9</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pageSetUpPr fitToPage="1"/>
  </sheetPr>
  <dimension ref="B7:K39"/>
  <sheetViews>
    <sheetView view="pageBreakPreview" zoomScale="91" zoomScaleNormal="67" zoomScaleSheetLayoutView="91" workbookViewId="0">
      <selection activeCell="D35" sqref="D35"/>
    </sheetView>
  </sheetViews>
  <sheetFormatPr defaultColWidth="9.33203125" defaultRowHeight="13.2"/>
  <cols>
    <col min="1" max="1" width="9.33203125" style="67"/>
    <col min="2" max="2" width="2.109375" style="67" customWidth="1"/>
    <col min="3" max="3" width="24.33203125" style="67" customWidth="1"/>
    <col min="4" max="4" width="20.6640625" style="67" customWidth="1"/>
    <col min="5" max="5" width="8.5546875" style="67" customWidth="1"/>
    <col min="6" max="6" width="9.88671875" style="67" customWidth="1"/>
    <col min="7" max="7" width="15.109375" style="67" customWidth="1"/>
    <col min="8" max="8" width="16.109375" style="67" customWidth="1"/>
    <col min="9" max="9" width="11.44140625" style="67" customWidth="1"/>
    <col min="10" max="10" width="4.6640625" style="67" customWidth="1"/>
    <col min="11" max="11" width="2.109375" style="67" customWidth="1"/>
    <col min="12" max="12" width="3.33203125" style="67" customWidth="1"/>
    <col min="13" max="16384" width="9.33203125" style="67"/>
  </cols>
  <sheetData>
    <row r="7" spans="2:11">
      <c r="C7" s="84" t="s">
        <v>236</v>
      </c>
    </row>
    <row r="10" spans="2:11" ht="14.1" customHeight="1"/>
    <row r="11" spans="2:11" ht="16.95" customHeight="1">
      <c r="B11" s="964"/>
      <c r="C11" s="966" t="s">
        <v>235</v>
      </c>
      <c r="D11" s="967"/>
      <c r="E11" s="967"/>
      <c r="F11" s="967"/>
      <c r="G11" s="967"/>
      <c r="H11" s="967"/>
      <c r="I11" s="967"/>
      <c r="J11" s="968"/>
      <c r="K11" s="969"/>
    </row>
    <row r="12" spans="2:11" ht="13.95" customHeight="1">
      <c r="B12" s="965"/>
      <c r="C12" s="948" t="s">
        <v>234</v>
      </c>
      <c r="D12" s="971"/>
      <c r="E12" s="971"/>
      <c r="F12" s="971"/>
      <c r="G12" s="971"/>
      <c r="H12" s="971"/>
      <c r="I12" s="971"/>
      <c r="J12" s="949"/>
      <c r="K12" s="970"/>
    </row>
    <row r="13" spans="2:11" ht="14.4" customHeight="1">
      <c r="B13" s="965"/>
      <c r="C13" s="254" t="s">
        <v>439</v>
      </c>
      <c r="D13" s="174">
        <f>Contract!C5</f>
        <v>0</v>
      </c>
      <c r="E13" s="174"/>
      <c r="F13" s="174"/>
      <c r="G13" s="174"/>
      <c r="H13" s="174"/>
      <c r="I13" s="174"/>
      <c r="J13" s="315"/>
      <c r="K13" s="970"/>
    </row>
    <row r="14" spans="2:11" ht="15.6" customHeight="1">
      <c r="B14" s="965"/>
      <c r="C14" s="254" t="s">
        <v>153</v>
      </c>
      <c r="D14" s="255" t="str">
        <f>IF(Bookings!C4="","-",Bookings!C4)</f>
        <v>-</v>
      </c>
      <c r="E14" s="255"/>
      <c r="F14" s="256"/>
      <c r="G14" s="948" t="s">
        <v>233</v>
      </c>
      <c r="H14" s="971"/>
      <c r="I14" s="971"/>
      <c r="J14" s="949"/>
      <c r="K14" s="970"/>
    </row>
    <row r="15" spans="2:11" ht="13.95" customHeight="1">
      <c r="B15" s="965"/>
      <c r="C15" s="973" t="s">
        <v>232</v>
      </c>
      <c r="D15" s="973" t="s">
        <v>231</v>
      </c>
      <c r="E15" s="975" t="s">
        <v>230</v>
      </c>
      <c r="F15" s="977" t="s">
        <v>229</v>
      </c>
      <c r="G15" s="981" t="s">
        <v>228</v>
      </c>
      <c r="H15" s="982"/>
      <c r="I15" s="982"/>
      <c r="J15" s="983"/>
      <c r="K15" s="970"/>
    </row>
    <row r="16" spans="2:11" ht="33" customHeight="1">
      <c r="B16" s="965"/>
      <c r="C16" s="974"/>
      <c r="D16" s="974"/>
      <c r="E16" s="976"/>
      <c r="F16" s="978"/>
      <c r="G16" s="83" t="s">
        <v>227</v>
      </c>
      <c r="H16" s="83" t="s">
        <v>226</v>
      </c>
      <c r="I16" s="979" t="s">
        <v>225</v>
      </c>
      <c r="J16" s="980"/>
      <c r="K16" s="970"/>
    </row>
    <row r="17" spans="2:11" ht="14.4" customHeight="1">
      <c r="B17" s="965"/>
      <c r="C17" s="80" t="str">
        <f>Staffing!G22</f>
        <v>MSDU121638/1</v>
      </c>
      <c r="D17" s="80" t="str">
        <f>Staffing!H22</f>
        <v>EU27646310</v>
      </c>
      <c r="E17" s="82">
        <f>IF(C17="","",1)</f>
        <v>1</v>
      </c>
      <c r="F17" s="81" t="str">
        <f>IF(C17="","","Kg")</f>
        <v>Kg</v>
      </c>
      <c r="G17" s="80" t="str">
        <f>IF(C17="","",CONCATENATE(Contract!$H$26/Contract!$D$34," Kg"))</f>
        <v>19440 Kg</v>
      </c>
      <c r="H17" s="80" t="str">
        <f>IF(Staffing!J22="","",CONCATENATE(Staffing!J22," Kg"))</f>
        <v>2220 Kg</v>
      </c>
      <c r="I17" s="946" t="str">
        <f>IF(C17="","",CONCATENATE(Contract!$H$26/Contract!$D$34+Staffing!J22," Kg"))</f>
        <v>21660 Kg</v>
      </c>
      <c r="J17" s="947"/>
      <c r="K17" s="970"/>
    </row>
    <row r="18" spans="2:11" ht="13.2" customHeight="1">
      <c r="B18" s="965"/>
      <c r="C18" s="80" t="str">
        <f>Staffing!G23</f>
        <v/>
      </c>
      <c r="D18" s="80" t="str">
        <f>Staffing!H23</f>
        <v>-</v>
      </c>
      <c r="E18" s="82" t="str">
        <f t="shared" ref="E18:E26" si="0">IF(C18="","",1)</f>
        <v/>
      </c>
      <c r="F18" s="81" t="str">
        <f t="shared" ref="F18:F26" si="1">IF(C18="","","Kg")</f>
        <v/>
      </c>
      <c r="G18" s="80" t="str">
        <f>IF(C18="","",CONCATENATE(Contract!$H$26/Contract!$D$34," Kg"))</f>
        <v/>
      </c>
      <c r="H18" s="80" t="str">
        <f>IF(Staffing!J23="","",CONCATENATE(Staffing!J23," Kg"))</f>
        <v/>
      </c>
      <c r="I18" s="946" t="str">
        <f>IF(C18="","",CONCATENATE(Contract!$H$26/Contract!$D$34+Staffing!J23," Kg"))</f>
        <v/>
      </c>
      <c r="J18" s="947"/>
      <c r="K18" s="970"/>
    </row>
    <row r="19" spans="2:11" ht="13.95" customHeight="1">
      <c r="B19" s="965"/>
      <c r="C19" s="80" t="str">
        <f>Staffing!G24</f>
        <v/>
      </c>
      <c r="D19" s="80" t="str">
        <f>Staffing!H24</f>
        <v>-</v>
      </c>
      <c r="E19" s="82" t="str">
        <f t="shared" si="0"/>
        <v/>
      </c>
      <c r="F19" s="81" t="str">
        <f t="shared" si="1"/>
        <v/>
      </c>
      <c r="G19" s="80" t="str">
        <f>IF(C19="","",CONCATENATE(Contract!$H$26/Contract!$D$34," Kg"))</f>
        <v/>
      </c>
      <c r="H19" s="80" t="str">
        <f>IF(Staffing!J24="","",CONCATENATE(Staffing!J24," Kg"))</f>
        <v/>
      </c>
      <c r="I19" s="946" t="str">
        <f>IF(C19="","",CONCATENATE(Contract!$H$26/Contract!$D$34+Staffing!J24," Kg"))</f>
        <v/>
      </c>
      <c r="J19" s="947"/>
      <c r="K19" s="970"/>
    </row>
    <row r="20" spans="2:11" ht="13.95" customHeight="1">
      <c r="B20" s="965"/>
      <c r="C20" s="80" t="str">
        <f>Staffing!G25</f>
        <v/>
      </c>
      <c r="D20" s="80" t="str">
        <f>Staffing!H25</f>
        <v>-</v>
      </c>
      <c r="E20" s="82" t="str">
        <f t="shared" si="0"/>
        <v/>
      </c>
      <c r="F20" s="81" t="str">
        <f t="shared" si="1"/>
        <v/>
      </c>
      <c r="G20" s="80" t="str">
        <f>IF(C20="","",CONCATENATE(Contract!$H$26/Contract!$D$34," Kg"))</f>
        <v/>
      </c>
      <c r="H20" s="80" t="str">
        <f>IF(Staffing!J25="","",CONCATENATE(Staffing!J25," Kg"))</f>
        <v/>
      </c>
      <c r="I20" s="946" t="str">
        <f>IF(C20="","",CONCATENATE(Contract!$H$26/Contract!$D$34+Staffing!J25," Kg"))</f>
        <v/>
      </c>
      <c r="J20" s="947"/>
      <c r="K20" s="970"/>
    </row>
    <row r="21" spans="2:11" ht="13.95" customHeight="1">
      <c r="B21" s="965"/>
      <c r="C21" s="80" t="str">
        <f>Staffing!G26</f>
        <v/>
      </c>
      <c r="D21" s="80" t="str">
        <f>IF(Staffing!H26="","",Staffing!H26)</f>
        <v>-</v>
      </c>
      <c r="E21" s="82" t="str">
        <f t="shared" si="0"/>
        <v/>
      </c>
      <c r="F21" s="81" t="str">
        <f t="shared" si="1"/>
        <v/>
      </c>
      <c r="G21" s="80" t="str">
        <f>IF(C21="","",CONCATENATE(Contract!$H$26/Contract!$D$34," Kg"))</f>
        <v/>
      </c>
      <c r="H21" s="80" t="str">
        <f>IF(Staffing!J26="","",CONCATENATE(Staffing!J26," Kg"))</f>
        <v/>
      </c>
      <c r="I21" s="946" t="str">
        <f>IF(C21="","",CONCATENATE(Contract!$H$26/Contract!$D$34+Staffing!J26," Kg"))</f>
        <v/>
      </c>
      <c r="J21" s="947"/>
      <c r="K21" s="970"/>
    </row>
    <row r="22" spans="2:11" ht="13.95" customHeight="1">
      <c r="B22" s="965"/>
      <c r="C22" s="80" t="str">
        <f>Staffing!G27</f>
        <v/>
      </c>
      <c r="D22" s="80" t="str">
        <f>IF(Staffing!H27="","",Staffing!H27)</f>
        <v>-</v>
      </c>
      <c r="E22" s="82" t="str">
        <f t="shared" si="0"/>
        <v/>
      </c>
      <c r="F22" s="81" t="str">
        <f t="shared" si="1"/>
        <v/>
      </c>
      <c r="G22" s="80" t="str">
        <f>IF(C22="","",CONCATENATE(Contract!$H$26/Contract!$D$34," Kg"))</f>
        <v/>
      </c>
      <c r="H22" s="80" t="str">
        <f>IF(Staffing!J27="","",CONCATENATE(Staffing!J27," Kg"))</f>
        <v/>
      </c>
      <c r="I22" s="946" t="str">
        <f>IF(C22="","",CONCATENATE(Contract!$H$26/Contract!$D$34+Staffing!J27," Kg"))</f>
        <v/>
      </c>
      <c r="J22" s="947"/>
      <c r="K22" s="970"/>
    </row>
    <row r="23" spans="2:11" ht="13.95" customHeight="1">
      <c r="B23" s="965"/>
      <c r="C23" s="80" t="str">
        <f>Staffing!G28</f>
        <v/>
      </c>
      <c r="D23" s="80" t="str">
        <f>IF(Staffing!H28="","",Staffing!H28)</f>
        <v>-</v>
      </c>
      <c r="E23" s="82" t="str">
        <f t="shared" si="0"/>
        <v/>
      </c>
      <c r="F23" s="81" t="str">
        <f t="shared" si="1"/>
        <v/>
      </c>
      <c r="G23" s="80" t="str">
        <f>IF(C23="","",CONCATENATE(Contract!$H$26/Contract!$D$34," Kg"))</f>
        <v/>
      </c>
      <c r="H23" s="80" t="str">
        <f>IF(Staffing!J28="","",CONCATENATE(Staffing!J28," Kg"))</f>
        <v/>
      </c>
      <c r="I23" s="946" t="str">
        <f>IF(C23="","",CONCATENATE(Contract!$H$26/Contract!$D$34+Staffing!J28," Kg"))</f>
        <v/>
      </c>
      <c r="J23" s="947"/>
      <c r="K23" s="970"/>
    </row>
    <row r="24" spans="2:11" ht="13.95" customHeight="1">
      <c r="B24" s="965"/>
      <c r="C24" s="80" t="str">
        <f>Staffing!G29</f>
        <v/>
      </c>
      <c r="D24" s="80" t="str">
        <f>IF(Staffing!H29="","",Staffing!H29)</f>
        <v>-</v>
      </c>
      <c r="E24" s="82" t="str">
        <f t="shared" si="0"/>
        <v/>
      </c>
      <c r="F24" s="81" t="str">
        <f t="shared" si="1"/>
        <v/>
      </c>
      <c r="G24" s="80" t="str">
        <f>IF(C24="","",CONCATENATE(Contract!$H$26/Contract!$D$34," Kg"))</f>
        <v/>
      </c>
      <c r="H24" s="80" t="str">
        <f>IF(Staffing!J29="","",CONCATENATE(Staffing!J29," Kg"))</f>
        <v/>
      </c>
      <c r="I24" s="946" t="str">
        <f>IF(C24="","",CONCATENATE(Contract!$H$26/Contract!$D$34+Staffing!J29," Kg"))</f>
        <v/>
      </c>
      <c r="J24" s="947"/>
      <c r="K24" s="970"/>
    </row>
    <row r="25" spans="2:11" ht="13.95" customHeight="1">
      <c r="B25" s="965"/>
      <c r="C25" s="80" t="str">
        <f>Staffing!G30</f>
        <v/>
      </c>
      <c r="D25" s="80" t="str">
        <f>IF(Staffing!H30="","",Staffing!H30)</f>
        <v>-</v>
      </c>
      <c r="E25" s="82" t="str">
        <f t="shared" si="0"/>
        <v/>
      </c>
      <c r="F25" s="81" t="str">
        <f t="shared" si="1"/>
        <v/>
      </c>
      <c r="G25" s="80" t="str">
        <f>IF(C25="","",CONCATENATE(Contract!$H$26/Contract!$D$34," Kg"))</f>
        <v/>
      </c>
      <c r="H25" s="80" t="str">
        <f>IF(Staffing!J30="","",CONCATENATE(Staffing!J30," Kg"))</f>
        <v/>
      </c>
      <c r="I25" s="946" t="str">
        <f>IF(C25="","",CONCATENATE(Contract!$H$26/Contract!$D$34+Staffing!J30," Kg"))</f>
        <v/>
      </c>
      <c r="J25" s="947"/>
      <c r="K25" s="970"/>
    </row>
    <row r="26" spans="2:11" ht="13.95" customHeight="1">
      <c r="B26" s="965"/>
      <c r="C26" s="80" t="str">
        <f>Staffing!G31</f>
        <v/>
      </c>
      <c r="D26" s="80" t="str">
        <f>IF(Staffing!H31="","",Staffing!H31)</f>
        <v>-</v>
      </c>
      <c r="E26" s="82" t="str">
        <f t="shared" si="0"/>
        <v/>
      </c>
      <c r="F26" s="81" t="str">
        <f t="shared" si="1"/>
        <v/>
      </c>
      <c r="G26" s="80" t="str">
        <f>IF(C26="","",CONCATENATE(Contract!$H$26/Contract!$D$34," Kg"))</f>
        <v/>
      </c>
      <c r="H26" s="80" t="str">
        <f>IF(Staffing!J31="","",CONCATENATE(Staffing!J31," Kg"))</f>
        <v/>
      </c>
      <c r="I26" s="946" t="str">
        <f>IF(C26="","",CONCATENATE(Contract!$H$26/Contract!$D$34+Staffing!J31," Kg"))</f>
        <v/>
      </c>
      <c r="J26" s="947"/>
      <c r="K26" s="970"/>
    </row>
    <row r="27" spans="2:11" ht="33" customHeight="1">
      <c r="B27" s="965"/>
      <c r="C27" s="953" t="s">
        <v>224</v>
      </c>
      <c r="D27" s="954"/>
      <c r="E27" s="954"/>
      <c r="F27" s="954"/>
      <c r="G27" s="954"/>
      <c r="H27" s="954"/>
      <c r="I27" s="954"/>
      <c r="J27" s="955"/>
      <c r="K27" s="970"/>
    </row>
    <row r="28" spans="2:11" ht="13.95" customHeight="1">
      <c r="B28" s="965"/>
      <c r="C28" s="948" t="s">
        <v>223</v>
      </c>
      <c r="D28" s="949"/>
      <c r="E28" s="950" t="str">
        <f>'Form Configuration'!B1</f>
        <v>PRAXIS  INTERNATIONAL BUSINESS PLC</v>
      </c>
      <c r="F28" s="951"/>
      <c r="G28" s="951"/>
      <c r="H28" s="951"/>
      <c r="I28" s="951"/>
      <c r="J28" s="952"/>
      <c r="K28" s="970"/>
    </row>
    <row r="29" spans="2:11" ht="13.95" customHeight="1">
      <c r="B29" s="965"/>
      <c r="C29" s="948" t="s">
        <v>222</v>
      </c>
      <c r="D29" s="949"/>
      <c r="E29" s="950" t="str">
        <f>Processing!D6</f>
        <v>GUNA TRADING COFFEE PROCESSING</v>
      </c>
      <c r="F29" s="951"/>
      <c r="G29" s="951"/>
      <c r="H29" s="951"/>
      <c r="I29" s="951"/>
      <c r="J29" s="952"/>
      <c r="K29" s="970"/>
    </row>
    <row r="30" spans="2:11" ht="16.95" customHeight="1">
      <c r="B30" s="965"/>
      <c r="C30" s="956" t="s">
        <v>221</v>
      </c>
      <c r="D30" s="957"/>
      <c r="E30" s="958" t="str">
        <f>Processing!D9</f>
        <v>ADDIS ABABA - ETHIOPIA</v>
      </c>
      <c r="F30" s="959"/>
      <c r="G30" s="959"/>
      <c r="H30" s="959"/>
      <c r="I30" s="959"/>
      <c r="J30" s="960"/>
      <c r="K30" s="970"/>
    </row>
    <row r="31" spans="2:11" ht="71.400000000000006" customHeight="1">
      <c r="B31" s="73"/>
      <c r="C31" s="945" t="s">
        <v>220</v>
      </c>
      <c r="D31" s="945"/>
      <c r="E31" s="945"/>
      <c r="F31" s="945"/>
      <c r="G31" s="945"/>
      <c r="H31" s="945"/>
      <c r="I31" s="945"/>
      <c r="J31" s="945"/>
      <c r="K31" s="77"/>
    </row>
    <row r="32" spans="2:11" ht="26.4" customHeight="1">
      <c r="B32" s="79"/>
      <c r="C32" s="78"/>
      <c r="D32" s="78"/>
      <c r="E32" s="78"/>
      <c r="F32" s="78"/>
      <c r="G32" s="78"/>
      <c r="H32" s="78"/>
      <c r="I32" s="78"/>
      <c r="J32" s="78"/>
      <c r="K32" s="77"/>
    </row>
    <row r="33" spans="2:11">
      <c r="B33" s="73"/>
      <c r="C33" s="67" t="s">
        <v>219</v>
      </c>
      <c r="F33" s="67" t="s">
        <v>218</v>
      </c>
      <c r="K33" s="72"/>
    </row>
    <row r="34" spans="2:11" s="74" customFormat="1" ht="42.6" customHeight="1">
      <c r="B34" s="76"/>
      <c r="C34" s="74" t="s">
        <v>217</v>
      </c>
      <c r="K34" s="75"/>
    </row>
    <row r="35" spans="2:11" ht="16.95" customHeight="1">
      <c r="B35" s="73"/>
      <c r="C35" s="67" t="str">
        <f>'Form Configuration'!B1</f>
        <v>PRAXIS  INTERNATIONAL BUSINESS PLC</v>
      </c>
      <c r="F35" s="67" t="s">
        <v>557</v>
      </c>
      <c r="K35" s="72"/>
    </row>
    <row r="36" spans="2:11" ht="27" customHeight="1">
      <c r="B36" s="71"/>
      <c r="C36" s="68" t="s">
        <v>216</v>
      </c>
      <c r="D36" s="68"/>
      <c r="E36" s="68"/>
      <c r="F36" s="68"/>
      <c r="G36" s="68"/>
      <c r="H36" s="68"/>
      <c r="I36" s="68"/>
      <c r="J36" s="68"/>
      <c r="K36" s="70"/>
    </row>
    <row r="37" spans="2:11" ht="22.2" customHeight="1">
      <c r="B37" s="69"/>
      <c r="C37" s="68"/>
      <c r="D37" s="68"/>
      <c r="E37" s="68"/>
      <c r="F37" s="68"/>
      <c r="G37" s="68"/>
      <c r="H37" s="68"/>
      <c r="I37" s="68"/>
      <c r="J37" s="68"/>
      <c r="K37" s="68"/>
    </row>
    <row r="38" spans="2:11" ht="38.1" customHeight="1">
      <c r="B38" s="961"/>
      <c r="C38" s="962"/>
      <c r="D38" s="962"/>
      <c r="E38" s="963"/>
      <c r="F38" s="934"/>
      <c r="G38" s="935"/>
      <c r="H38" s="935"/>
      <c r="I38" s="935"/>
      <c r="J38" s="935"/>
      <c r="K38" s="972"/>
    </row>
    <row r="39" spans="2:11" ht="38.1" customHeight="1">
      <c r="B39" s="953"/>
      <c r="C39" s="954"/>
      <c r="D39" s="954"/>
      <c r="E39" s="955"/>
      <c r="F39" s="954"/>
      <c r="G39" s="954"/>
      <c r="H39" s="954"/>
      <c r="I39" s="954"/>
      <c r="J39" s="954"/>
      <c r="K39" s="955"/>
    </row>
  </sheetData>
  <mergeCells count="33">
    <mergeCell ref="G14:J14"/>
    <mergeCell ref="C15:C16"/>
    <mergeCell ref="F15:F16"/>
    <mergeCell ref="I16:J16"/>
    <mergeCell ref="I18:J18"/>
    <mergeCell ref="G15:J15"/>
    <mergeCell ref="I17:J17"/>
    <mergeCell ref="B39:E39"/>
    <mergeCell ref="F39:K39"/>
    <mergeCell ref="C30:D30"/>
    <mergeCell ref="E30:J30"/>
    <mergeCell ref="B38:E38"/>
    <mergeCell ref="B11:B30"/>
    <mergeCell ref="C11:J11"/>
    <mergeCell ref="K11:K30"/>
    <mergeCell ref="C12:J12"/>
    <mergeCell ref="I20:J20"/>
    <mergeCell ref="C27:J27"/>
    <mergeCell ref="F38:K38"/>
    <mergeCell ref="I19:J19"/>
    <mergeCell ref="E28:J28"/>
    <mergeCell ref="D15:D16"/>
    <mergeCell ref="E15:E16"/>
    <mergeCell ref="C31:J31"/>
    <mergeCell ref="I21:J21"/>
    <mergeCell ref="I22:J22"/>
    <mergeCell ref="I23:J23"/>
    <mergeCell ref="I24:J24"/>
    <mergeCell ref="C28:D28"/>
    <mergeCell ref="C29:D29"/>
    <mergeCell ref="I25:J25"/>
    <mergeCell ref="I26:J26"/>
    <mergeCell ref="E29:J29"/>
  </mergeCells>
  <pageMargins left="0" right="0" top="0" bottom="0" header="0" footer="0"/>
  <pageSetup paperSize="9" scale="91" fitToHeight="0" orientation="portrait" r:id="rId1"/>
  <headerFooter>
    <oddHeader>&amp;C&amp;G</oddHeader>
  </headerFooter>
  <drawing r:id="rId2"/>
  <legacyDrawingHF r:id="rId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B1:F21"/>
  <sheetViews>
    <sheetView topLeftCell="A2" workbookViewId="0">
      <selection activeCell="B12" sqref="B12"/>
    </sheetView>
  </sheetViews>
  <sheetFormatPr defaultRowHeight="14.4"/>
  <cols>
    <col min="1" max="1" width="3" customWidth="1"/>
    <col min="2" max="2" width="39.109375" customWidth="1"/>
    <col min="3" max="3" width="12.44140625" customWidth="1"/>
    <col min="4" max="4" width="13.6640625" customWidth="1"/>
    <col min="5" max="5" width="9.109375" customWidth="1"/>
    <col min="6" max="6" width="12.6640625" customWidth="1"/>
  </cols>
  <sheetData>
    <row r="1" spans="2:6" ht="11.25" hidden="1" customHeight="1"/>
    <row r="2" spans="2:6" s="85" customFormat="1" ht="61.8" customHeight="1">
      <c r="B2" s="316" t="str">
        <f>_xlfn.CONCAT('Form Configuration'!B1:D1,",",'Form Configuration'!B2:D2," Email: ",'Form Configuration'!H1," TEL:",'Form Configuration'!H2)</f>
        <v>PRAXIS  INTERNATIONAL BUSINESS PLC,NIFAS SILK LAFTO SUB CITY, WOREDA 
08, HOUSE NO 1986, ADDIS ABABA, ETHIOPIA. Email: coffee@praxis.com.et TEL:0992454545</v>
      </c>
    </row>
    <row r="3" spans="2:6" ht="11.25" customHeight="1">
      <c r="B3" s="985" t="s">
        <v>436</v>
      </c>
      <c r="C3" s="985"/>
    </row>
    <row r="4" spans="2:6" ht="24.75" customHeight="1"/>
    <row r="5" spans="2:6" ht="55.5" customHeight="1">
      <c r="B5" s="53" t="str">
        <f>'Contract-SI-LC'!K30</f>
        <v>-</v>
      </c>
      <c r="D5" s="12" t="s">
        <v>237</v>
      </c>
      <c r="E5" s="12" t="s">
        <v>238</v>
      </c>
      <c r="F5" s="85"/>
    </row>
    <row r="6" spans="2:6" ht="27" customHeight="1">
      <c r="D6" s="86" t="s">
        <v>174</v>
      </c>
      <c r="F6" s="87" t="s">
        <v>239</v>
      </c>
    </row>
    <row r="7" spans="2:6" ht="23.25" customHeight="1">
      <c r="B7" s="92">
        <f>'Contract-SI-LC'!K20</f>
        <v>0</v>
      </c>
      <c r="C7" s="92" t="s">
        <v>440</v>
      </c>
      <c r="D7" s="88" t="s">
        <v>240</v>
      </c>
    </row>
    <row r="8" spans="2:6" ht="24" customHeight="1"/>
    <row r="9" spans="2:6" ht="31.5" customHeight="1">
      <c r="B9" s="8" t="s">
        <v>241</v>
      </c>
      <c r="C9" s="986" t="str">
        <f>CONCATENATE(Bookings!C5," ",Bookings!C6," ",Bookings!C7)</f>
        <v xml:space="preserve">  </v>
      </c>
      <c r="D9" s="986"/>
    </row>
    <row r="10" spans="2:6" ht="19.5" customHeight="1">
      <c r="D10" s="86" t="s">
        <v>242</v>
      </c>
    </row>
    <row r="11" spans="2:6" ht="30" customHeight="1"/>
    <row r="12" spans="2:6" ht="33" customHeight="1">
      <c r="B12" s="89" t="s">
        <v>243</v>
      </c>
      <c r="C12" s="90"/>
      <c r="D12" s="91">
        <f>Contract!D26</f>
        <v>19200</v>
      </c>
      <c r="F12" s="92" t="s">
        <v>244</v>
      </c>
    </row>
    <row r="13" spans="2:6" ht="33.75" customHeight="1">
      <c r="B13" s="89" t="s">
        <v>245</v>
      </c>
    </row>
    <row r="14" spans="2:6" ht="36.75" customHeight="1">
      <c r="C14" s="987" t="str">
        <f>CONCATENATE('Contract-SI-LC'!K25," NEW JUTE ",Contract!D17," EACH OF ",Contract!D37, " GRADE ",Contract!D38, " CROP YEAR ",'Contract-SI-LC'!F37," AS PER CONTRACT REF NO. ",Contract!C5," ( ",'Contract-SI-LC'!K25," NEW JUTE BAGS, ",Contract!D28," LBS",")")</f>
        <v>0 NEW JUTE Bag of 60Kg EACH OF UNWASHED DJIMMAH GRADE FIVE(5) CROP YEAR  AS PER CONTRACT REF NO.  ( 0 NEW JUTE BAGS, 42328.704 LBS)</v>
      </c>
      <c r="D14" s="987"/>
      <c r="E14" s="987"/>
      <c r="F14" s="987"/>
    </row>
    <row r="15" spans="2:6" ht="26.25" customHeight="1">
      <c r="B15" s="85" t="s">
        <v>246</v>
      </c>
      <c r="C15" s="93"/>
    </row>
    <row r="17" spans="2:5" ht="57" customHeight="1"/>
    <row r="20" spans="2:5" s="85" customFormat="1" ht="30" customHeight="1">
      <c r="B20" s="984" t="s">
        <v>247</v>
      </c>
      <c r="D20" s="984" t="s">
        <v>248</v>
      </c>
      <c r="E20" s="984"/>
    </row>
    <row r="21" spans="2:5">
      <c r="B21" s="984"/>
      <c r="D21" s="984"/>
      <c r="E21" s="984"/>
    </row>
  </sheetData>
  <mergeCells count="5">
    <mergeCell ref="B20:B21"/>
    <mergeCell ref="D20:E21"/>
    <mergeCell ref="B3:C3"/>
    <mergeCell ref="C9:D9"/>
    <mergeCell ref="C14:F14"/>
  </mergeCells>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dimension ref="A1:R48"/>
  <sheetViews>
    <sheetView topLeftCell="A2" zoomScaleNormal="100" workbookViewId="0">
      <selection activeCell="A12" sqref="A12:A14"/>
    </sheetView>
  </sheetViews>
  <sheetFormatPr defaultColWidth="9.109375" defaultRowHeight="13.2"/>
  <cols>
    <col min="1" max="1" width="28.33203125" style="96" customWidth="1"/>
    <col min="2" max="2" width="3.5546875" style="96" customWidth="1"/>
    <col min="3" max="3" width="7.5546875" style="96" customWidth="1"/>
    <col min="4" max="4" width="7.109375" style="96" customWidth="1"/>
    <col min="5" max="5" width="7.6640625" style="96" customWidth="1"/>
    <col min="6" max="6" width="4.33203125" style="96" customWidth="1"/>
    <col min="7" max="7" width="10.44140625" style="96" customWidth="1"/>
    <col min="8" max="8" width="1.33203125" style="96" customWidth="1"/>
    <col min="9" max="9" width="6.33203125" style="96" customWidth="1"/>
    <col min="10" max="10" width="3.6640625" style="96" customWidth="1"/>
    <col min="11" max="11" width="3" style="96" customWidth="1"/>
    <col min="12" max="12" width="7.5546875" style="96" customWidth="1"/>
    <col min="13" max="13" width="13.88671875" style="96" customWidth="1"/>
    <col min="14" max="14" width="1.6640625" style="96" customWidth="1"/>
    <col min="15" max="16384" width="9.109375" style="96"/>
  </cols>
  <sheetData>
    <row r="1" spans="1:18" ht="185.25" customHeight="1">
      <c r="A1" s="94"/>
      <c r="B1" s="94"/>
      <c r="C1" s="94"/>
      <c r="D1" s="95"/>
      <c r="E1" s="95"/>
      <c r="F1" s="95"/>
      <c r="G1" s="95"/>
      <c r="H1" s="95"/>
      <c r="I1" s="95"/>
      <c r="J1" s="95"/>
      <c r="K1" s="95"/>
      <c r="L1" s="95"/>
      <c r="M1" s="95"/>
      <c r="N1" s="94"/>
    </row>
    <row r="2" spans="1:18" ht="1.5" customHeight="1">
      <c r="A2" s="94"/>
      <c r="B2" s="94"/>
      <c r="C2" s="97"/>
      <c r="D2" s="94"/>
      <c r="E2" s="94"/>
      <c r="F2" s="94"/>
      <c r="G2" s="94"/>
      <c r="H2" s="97"/>
      <c r="I2" s="97"/>
      <c r="J2" s="94"/>
      <c r="K2" s="94"/>
      <c r="L2" s="94"/>
      <c r="M2" s="94"/>
      <c r="N2" s="94"/>
    </row>
    <row r="3" spans="1:18" ht="21.75" customHeight="1">
      <c r="A3" s="98"/>
      <c r="B3" s="992" t="str">
        <f>_xlfn.CONCAT('Form Configuration'!B1:D1,",",'Form Configuration'!B2:D2)</f>
        <v>PRAXIS  INTERNATIONAL BUSINESS PLC,NIFAS SILK LAFTO SUB CITY, WOREDA 
08, HOUSE NO 1986, ADDIS ABABA, ETHIOPIA.</v>
      </c>
      <c r="C3" s="992"/>
      <c r="D3" s="992"/>
      <c r="E3" s="992"/>
      <c r="F3" s="992"/>
      <c r="G3" s="992"/>
      <c r="H3" s="992"/>
      <c r="I3" s="992"/>
      <c r="J3" s="992"/>
      <c r="K3" s="992"/>
      <c r="L3" s="992"/>
      <c r="M3" s="992"/>
      <c r="N3" s="992"/>
      <c r="O3" s="99"/>
    </row>
    <row r="4" spans="1:18" ht="19.5" customHeight="1">
      <c r="A4" s="98"/>
      <c r="B4" s="993" t="str">
        <f>'Contract-SI-LC'!K29</f>
        <v>-</v>
      </c>
      <c r="C4" s="993"/>
      <c r="D4" s="993"/>
      <c r="E4" s="993"/>
      <c r="F4" s="993"/>
      <c r="G4" s="993"/>
      <c r="H4" s="993"/>
      <c r="I4" s="993"/>
      <c r="J4" s="993"/>
      <c r="K4" s="993"/>
      <c r="L4" s="993"/>
      <c r="M4" s="993"/>
      <c r="N4" s="100"/>
      <c r="O4" s="100"/>
    </row>
    <row r="5" spans="1:18" ht="4.5" customHeight="1">
      <c r="A5" s="98"/>
      <c r="B5" s="994"/>
      <c r="C5" s="994"/>
      <c r="D5" s="994"/>
      <c r="E5" s="994"/>
      <c r="F5" s="994"/>
      <c r="G5" s="994"/>
      <c r="H5" s="994"/>
      <c r="I5" s="994"/>
      <c r="J5" s="994"/>
      <c r="K5" s="994"/>
      <c r="L5" s="994"/>
      <c r="M5" s="994"/>
      <c r="N5" s="100"/>
      <c r="O5" s="100"/>
      <c r="P5" s="101"/>
    </row>
    <row r="6" spans="1:18" ht="13.5" customHeight="1">
      <c r="A6" s="98"/>
      <c r="B6" s="995" t="str">
        <f>CONCATENATE("SHIPPED BY ",Bookings!C5," ",Bookings!C6," FROM ",'Contract-SI-LC'!K24," TO ",'Contract-SI-LC'!K20)</f>
        <v>SHIPPED BY   FROM 0 TO 0</v>
      </c>
      <c r="C6" s="995"/>
      <c r="D6" s="995"/>
      <c r="E6" s="995"/>
      <c r="F6" s="995"/>
      <c r="G6" s="995"/>
      <c r="H6" s="995"/>
      <c r="I6" s="995"/>
      <c r="J6" s="995"/>
      <c r="K6" s="995"/>
      <c r="L6" s="995"/>
      <c r="M6" s="995"/>
      <c r="N6" s="102"/>
      <c r="O6" s="103"/>
    </row>
    <row r="7" spans="1:18" ht="13.8">
      <c r="A7" s="98"/>
      <c r="B7" s="98"/>
      <c r="C7" s="98"/>
      <c r="D7" s="98"/>
      <c r="E7" s="98"/>
      <c r="F7" s="98"/>
      <c r="G7" s="98"/>
      <c r="H7" s="98"/>
      <c r="I7" s="98"/>
      <c r="J7" s="98"/>
      <c r="K7" s="98"/>
      <c r="L7" s="98"/>
      <c r="M7" s="98"/>
      <c r="N7" s="98"/>
      <c r="O7" s="103"/>
    </row>
    <row r="8" spans="1:18" ht="13.8">
      <c r="A8" s="98"/>
      <c r="B8" s="98"/>
      <c r="C8" s="98"/>
      <c r="D8" s="98"/>
      <c r="E8" s="98"/>
      <c r="F8" s="98"/>
      <c r="G8" s="98"/>
      <c r="H8" s="98"/>
      <c r="I8" s="98"/>
      <c r="J8" s="98"/>
      <c r="K8" s="98"/>
      <c r="L8" s="98"/>
      <c r="M8" s="98"/>
      <c r="N8" s="98"/>
      <c r="O8" s="103"/>
    </row>
    <row r="9" spans="1:18" ht="13.8" hidden="1">
      <c r="A9" s="98"/>
      <c r="B9" s="98"/>
      <c r="C9" s="98"/>
      <c r="D9" s="98"/>
      <c r="E9" s="98"/>
      <c r="F9" s="98"/>
      <c r="G9" s="98"/>
      <c r="H9" s="98"/>
      <c r="I9" s="98"/>
      <c r="J9" s="98"/>
      <c r="K9" s="98"/>
      <c r="L9" s="98"/>
      <c r="M9" s="98"/>
      <c r="N9" s="98"/>
      <c r="O9" s="103"/>
    </row>
    <row r="10" spans="1:18" ht="13.8">
      <c r="A10" s="98"/>
      <c r="B10" s="98"/>
      <c r="C10" s="98"/>
      <c r="D10" s="98"/>
      <c r="E10" s="98"/>
      <c r="F10" s="98"/>
      <c r="G10" s="98"/>
      <c r="H10" s="98"/>
      <c r="I10" s="98"/>
      <c r="J10" s="98"/>
      <c r="K10" s="98"/>
      <c r="L10" s="98"/>
      <c r="M10" s="98"/>
      <c r="N10" s="98"/>
      <c r="O10" s="103"/>
    </row>
    <row r="11" spans="1:18" ht="27.75" customHeight="1">
      <c r="A11" s="98"/>
      <c r="B11" s="98"/>
      <c r="C11" s="98"/>
      <c r="D11" s="98"/>
      <c r="E11" s="98"/>
      <c r="F11" s="98"/>
      <c r="G11" s="98"/>
      <c r="H11" s="98"/>
      <c r="I11" s="98"/>
      <c r="J11" s="98"/>
      <c r="K11" s="98"/>
      <c r="L11" s="98"/>
      <c r="M11" s="98"/>
      <c r="N11" s="98"/>
      <c r="O11" s="103"/>
    </row>
    <row r="12" spans="1:18" ht="17.25" customHeight="1">
      <c r="A12" s="988">
        <f>'Contract-SI-LC'!F35</f>
        <v>0</v>
      </c>
      <c r="B12" s="104" t="str">
        <f>CONCATENATE(Contract!D18," JUTE BAGS")</f>
        <v>320 JUTE BAGS</v>
      </c>
      <c r="C12" s="105"/>
      <c r="D12" s="106"/>
      <c r="E12" s="996">
        <f>Contract!H26</f>
        <v>19440</v>
      </c>
      <c r="F12" s="996"/>
      <c r="G12" s="996">
        <f>Contract!D26</f>
        <v>19200</v>
      </c>
      <c r="H12" s="996"/>
      <c r="I12" s="997" t="str">
        <f>CONCATENATE('Contract-SI-LC'!K28," ,ICO NO:",'Form Configuration'!A12,"/",Contract!F54,", CERT NO: ",Contract!F54," ,CROP YEAR:",'Contract-SI-LC'!F37 )</f>
        <v>0 ,ICO NO:010/1116/0023, CERT NO: 0023 ,CROP YEAR:</v>
      </c>
      <c r="J12" s="997"/>
      <c r="K12" s="997"/>
      <c r="L12" s="997"/>
      <c r="M12" s="997"/>
      <c r="N12" s="997"/>
      <c r="O12" s="103"/>
      <c r="Q12" s="107"/>
    </row>
    <row r="13" spans="1:18" ht="14.4">
      <c r="A13" s="988"/>
      <c r="B13" s="108"/>
      <c r="C13" s="109"/>
      <c r="D13" s="106"/>
      <c r="E13" s="998" t="s">
        <v>249</v>
      </c>
      <c r="F13" s="998"/>
      <c r="G13" s="998" t="s">
        <v>249</v>
      </c>
      <c r="H13" s="998"/>
      <c r="I13" s="997"/>
      <c r="J13" s="997"/>
      <c r="K13" s="997"/>
      <c r="L13" s="997"/>
      <c r="M13" s="997"/>
      <c r="N13" s="997"/>
      <c r="O13" s="103"/>
      <c r="Q13" s="989"/>
      <c r="R13" s="989"/>
    </row>
    <row r="14" spans="1:18" ht="12" customHeight="1">
      <c r="A14" s="988"/>
      <c r="B14" s="108"/>
      <c r="C14" s="106"/>
      <c r="D14" s="110"/>
      <c r="E14" s="105"/>
      <c r="F14" s="105"/>
      <c r="G14" s="105"/>
      <c r="H14" s="105"/>
      <c r="I14" s="997"/>
      <c r="J14" s="997"/>
      <c r="K14" s="997"/>
      <c r="L14" s="997"/>
      <c r="M14" s="997"/>
      <c r="N14" s="997"/>
      <c r="O14" s="103"/>
    </row>
    <row r="15" spans="1:18" ht="14.25" customHeight="1">
      <c r="A15" s="111"/>
      <c r="B15" s="112"/>
      <c r="C15" s="112"/>
      <c r="D15" s="113"/>
      <c r="E15" s="105"/>
      <c r="F15" s="105"/>
      <c r="G15" s="105"/>
      <c r="H15" s="105"/>
      <c r="I15" s="997"/>
      <c r="J15" s="997"/>
      <c r="K15" s="997"/>
      <c r="L15" s="997"/>
      <c r="M15" s="997"/>
      <c r="N15" s="997"/>
      <c r="O15" s="103"/>
    </row>
    <row r="16" spans="1:18" ht="13.5" customHeight="1">
      <c r="A16" s="114"/>
      <c r="B16" s="114"/>
      <c r="C16" s="113"/>
      <c r="D16" s="115"/>
      <c r="E16" s="105"/>
      <c r="F16" s="105"/>
      <c r="G16" s="105"/>
      <c r="H16" s="105"/>
      <c r="I16" s="997"/>
      <c r="J16" s="997"/>
      <c r="K16" s="997"/>
      <c r="L16" s="997"/>
      <c r="M16" s="997"/>
      <c r="N16" s="997"/>
      <c r="O16" s="103"/>
    </row>
    <row r="17" spans="1:15" ht="13.5" customHeight="1">
      <c r="A17" s="116"/>
      <c r="B17" s="106"/>
      <c r="C17" s="106"/>
      <c r="D17" s="106"/>
      <c r="E17" s="117"/>
      <c r="F17" s="105"/>
      <c r="G17" s="105"/>
      <c r="H17" s="105"/>
      <c r="I17" s="997"/>
      <c r="J17" s="997"/>
      <c r="K17" s="997"/>
      <c r="L17" s="997"/>
      <c r="M17" s="997"/>
      <c r="N17" s="997"/>
      <c r="O17" s="103"/>
    </row>
    <row r="18" spans="1:15" ht="42.6" customHeight="1">
      <c r="A18" s="116"/>
      <c r="B18" s="106"/>
      <c r="C18" s="106"/>
      <c r="D18" s="106"/>
      <c r="E18" s="105"/>
      <c r="F18" s="105"/>
      <c r="G18" s="105"/>
      <c r="H18" s="105"/>
      <c r="I18" s="997"/>
      <c r="J18" s="997"/>
      <c r="K18" s="997"/>
      <c r="L18" s="997"/>
      <c r="M18" s="997"/>
      <c r="N18" s="997"/>
      <c r="O18" s="103"/>
    </row>
    <row r="19" spans="1:15" ht="10.5" customHeight="1">
      <c r="A19" s="94"/>
      <c r="B19" s="94"/>
      <c r="C19" s="118"/>
      <c r="D19" s="94"/>
      <c r="E19" s="94"/>
      <c r="F19" s="94"/>
      <c r="G19" s="94"/>
      <c r="H19" s="94"/>
      <c r="I19" s="990" t="str">
        <f>'Contract-SI-LC'!K32</f>
        <v>-</v>
      </c>
      <c r="J19" s="991"/>
      <c r="K19" s="991"/>
      <c r="L19" s="991"/>
      <c r="M19" s="991"/>
      <c r="N19" s="94"/>
    </row>
    <row r="20" spans="1:15">
      <c r="A20" s="94"/>
      <c r="B20" s="94"/>
      <c r="C20" s="94"/>
      <c r="D20" s="94"/>
      <c r="E20" s="94"/>
      <c r="F20" s="94"/>
      <c r="G20" s="94"/>
      <c r="H20" s="94"/>
      <c r="I20" s="991"/>
      <c r="J20" s="991"/>
      <c r="K20" s="991"/>
      <c r="L20" s="991"/>
      <c r="M20" s="991"/>
      <c r="N20" s="94"/>
    </row>
    <row r="21" spans="1:15">
      <c r="A21" s="94"/>
      <c r="B21" s="94"/>
      <c r="C21" s="94"/>
      <c r="D21" s="94"/>
      <c r="E21" s="94"/>
      <c r="F21" s="94"/>
      <c r="G21" s="94"/>
      <c r="H21" s="94"/>
      <c r="I21" s="991"/>
      <c r="J21" s="991"/>
      <c r="K21" s="991"/>
      <c r="L21" s="991"/>
      <c r="M21" s="991"/>
      <c r="N21" s="94"/>
    </row>
    <row r="22" spans="1:15">
      <c r="A22" s="94"/>
      <c r="B22" s="94"/>
      <c r="C22" s="94"/>
      <c r="D22" s="94"/>
      <c r="E22" s="94"/>
      <c r="F22" s="94"/>
      <c r="G22" s="94"/>
      <c r="H22" s="94"/>
      <c r="I22" s="991"/>
      <c r="J22" s="991"/>
      <c r="K22" s="991"/>
      <c r="L22" s="991"/>
      <c r="M22" s="991"/>
      <c r="N22" s="94"/>
    </row>
    <row r="23" spans="1:15">
      <c r="A23" s="94"/>
      <c r="B23" s="94"/>
      <c r="C23" s="94"/>
      <c r="D23" s="94"/>
      <c r="E23" s="94"/>
      <c r="F23" s="94"/>
      <c r="G23" s="94"/>
      <c r="H23" s="94"/>
      <c r="I23" s="94"/>
      <c r="J23" s="94"/>
      <c r="K23" s="94"/>
      <c r="L23" s="94"/>
      <c r="M23" s="94"/>
      <c r="N23" s="94"/>
    </row>
    <row r="24" spans="1:15">
      <c r="A24" s="94"/>
      <c r="B24" s="94"/>
      <c r="C24" s="94"/>
      <c r="D24" s="94"/>
      <c r="E24" s="94"/>
      <c r="F24" s="94"/>
      <c r="G24" s="94"/>
      <c r="H24" s="94"/>
      <c r="I24" s="94"/>
      <c r="J24" s="94"/>
      <c r="K24" s="94"/>
      <c r="L24" s="94"/>
      <c r="M24" s="94"/>
      <c r="N24" s="94"/>
    </row>
    <row r="25" spans="1:15">
      <c r="A25" s="94"/>
      <c r="B25" s="94"/>
      <c r="C25" s="94"/>
      <c r="D25" s="94"/>
      <c r="E25" s="94"/>
      <c r="F25" s="94"/>
      <c r="G25" s="94"/>
      <c r="H25" s="94"/>
      <c r="I25" s="94"/>
      <c r="J25" s="94"/>
      <c r="K25" s="94"/>
      <c r="L25" s="94"/>
      <c r="M25" s="94"/>
      <c r="N25" s="94"/>
    </row>
    <row r="26" spans="1:15">
      <c r="A26" s="94"/>
      <c r="B26" s="94"/>
      <c r="C26" s="94"/>
      <c r="D26" s="94"/>
      <c r="E26" s="94"/>
      <c r="F26" s="94"/>
      <c r="G26" s="94"/>
      <c r="H26" s="94"/>
      <c r="I26" s="94"/>
      <c r="J26" s="94"/>
      <c r="K26" s="94"/>
      <c r="L26" s="94"/>
      <c r="M26" s="94"/>
      <c r="N26" s="94"/>
    </row>
    <row r="27" spans="1:15">
      <c r="A27" s="94"/>
      <c r="B27" s="94"/>
      <c r="C27" s="94"/>
      <c r="D27" s="94"/>
      <c r="E27" s="94"/>
      <c r="F27" s="94"/>
      <c r="G27" s="94"/>
      <c r="H27" s="94"/>
      <c r="I27" s="94"/>
      <c r="J27" s="94"/>
      <c r="K27" s="94"/>
      <c r="L27" s="94"/>
      <c r="M27" s="94"/>
      <c r="N27" s="94"/>
    </row>
    <row r="28" spans="1:15">
      <c r="A28" s="94"/>
      <c r="B28" s="94"/>
      <c r="C28" s="94"/>
      <c r="D28" s="94"/>
      <c r="E28" s="94"/>
      <c r="F28" s="94"/>
      <c r="G28" s="94"/>
      <c r="H28" s="94"/>
      <c r="I28" s="94"/>
      <c r="J28" s="94"/>
      <c r="K28" s="94"/>
      <c r="L28" s="94"/>
      <c r="M28" s="94"/>
      <c r="N28" s="94"/>
    </row>
    <row r="29" spans="1:15">
      <c r="A29" s="94"/>
      <c r="B29" s="94"/>
      <c r="C29" s="94"/>
      <c r="D29" s="94"/>
      <c r="E29" s="94"/>
      <c r="F29" s="94"/>
      <c r="G29" s="94"/>
      <c r="H29" s="94"/>
      <c r="I29" s="94"/>
      <c r="J29" s="94"/>
      <c r="K29" s="94"/>
      <c r="L29" s="94"/>
      <c r="M29" s="94"/>
      <c r="N29" s="94"/>
    </row>
    <row r="30" spans="1:15">
      <c r="A30" s="94"/>
      <c r="B30" s="94"/>
      <c r="C30" s="94"/>
      <c r="D30" s="94"/>
      <c r="E30" s="94"/>
      <c r="F30" s="94"/>
      <c r="G30" s="94"/>
      <c r="H30" s="94"/>
      <c r="I30" s="94"/>
      <c r="J30" s="94"/>
      <c r="K30" s="94"/>
      <c r="L30" s="94"/>
      <c r="M30" s="94"/>
      <c r="N30" s="94"/>
    </row>
    <row r="31" spans="1:15">
      <c r="A31" s="94"/>
      <c r="B31" s="94"/>
      <c r="C31" s="94"/>
      <c r="D31" s="94"/>
      <c r="E31" s="94"/>
      <c r="F31" s="94"/>
      <c r="G31" s="94"/>
      <c r="H31" s="94"/>
      <c r="I31" s="94"/>
      <c r="J31" s="94"/>
      <c r="K31" s="94"/>
      <c r="L31" s="94"/>
      <c r="M31" s="94"/>
      <c r="N31" s="94"/>
    </row>
    <row r="32" spans="1:15">
      <c r="A32" s="94"/>
      <c r="B32" s="94"/>
      <c r="C32" s="94"/>
      <c r="D32" s="94"/>
      <c r="E32" s="94"/>
      <c r="F32" s="94"/>
      <c r="G32" s="94"/>
      <c r="H32" s="94"/>
      <c r="I32" s="94"/>
      <c r="J32" s="94"/>
      <c r="K32" s="94"/>
      <c r="L32" s="94"/>
      <c r="M32" s="94"/>
      <c r="N32" s="94"/>
    </row>
    <row r="33" spans="1:14">
      <c r="A33" s="94"/>
      <c r="B33" s="94"/>
      <c r="C33" s="94"/>
      <c r="D33" s="94"/>
      <c r="E33" s="94"/>
      <c r="F33" s="94"/>
      <c r="G33" s="94"/>
      <c r="H33" s="94"/>
      <c r="I33" s="94"/>
      <c r="J33" s="94"/>
      <c r="K33" s="94"/>
      <c r="L33" s="94"/>
      <c r="M33" s="94"/>
      <c r="N33" s="94"/>
    </row>
    <row r="34" spans="1:14">
      <c r="A34" s="94"/>
      <c r="B34" s="94"/>
      <c r="C34" s="94"/>
      <c r="D34" s="94"/>
      <c r="E34" s="94"/>
      <c r="F34" s="94"/>
      <c r="G34" s="94"/>
      <c r="H34" s="94"/>
      <c r="I34" s="94"/>
      <c r="J34" s="94"/>
      <c r="K34" s="94"/>
      <c r="L34" s="94"/>
      <c r="M34" s="94"/>
      <c r="N34" s="94"/>
    </row>
    <row r="35" spans="1:14">
      <c r="A35" s="94"/>
      <c r="B35" s="94"/>
      <c r="C35" s="94"/>
      <c r="D35" s="94"/>
      <c r="E35" s="94"/>
      <c r="F35" s="94"/>
      <c r="G35" s="94"/>
      <c r="H35" s="94"/>
      <c r="I35" s="94"/>
      <c r="J35" s="94"/>
      <c r="K35" s="94"/>
      <c r="L35" s="94"/>
      <c r="M35" s="94"/>
      <c r="N35" s="94"/>
    </row>
    <row r="36" spans="1:14">
      <c r="A36" s="94"/>
      <c r="B36" s="94"/>
      <c r="C36" s="94"/>
      <c r="D36" s="94"/>
      <c r="E36" s="94"/>
      <c r="F36" s="94"/>
      <c r="G36" s="94"/>
      <c r="H36" s="94"/>
      <c r="I36" s="94"/>
      <c r="J36" s="94"/>
      <c r="K36" s="94"/>
      <c r="L36" s="94"/>
      <c r="M36" s="94"/>
      <c r="N36" s="94"/>
    </row>
    <row r="37" spans="1:14">
      <c r="A37" s="94"/>
      <c r="B37" s="94"/>
      <c r="C37" s="94"/>
      <c r="D37" s="94"/>
      <c r="E37" s="94"/>
      <c r="F37" s="94"/>
      <c r="G37" s="94"/>
      <c r="H37" s="94"/>
      <c r="I37" s="94"/>
      <c r="J37" s="94"/>
      <c r="K37" s="94"/>
      <c r="L37" s="94"/>
      <c r="M37" s="94"/>
      <c r="N37" s="94"/>
    </row>
    <row r="38" spans="1:14">
      <c r="A38" s="94"/>
      <c r="B38" s="94"/>
      <c r="C38" s="94"/>
      <c r="D38" s="94"/>
      <c r="E38" s="94"/>
      <c r="F38" s="94"/>
      <c r="G38" s="94"/>
      <c r="H38" s="94"/>
      <c r="I38" s="94"/>
      <c r="J38" s="94"/>
      <c r="K38" s="94"/>
      <c r="L38" s="94"/>
      <c r="M38" s="94"/>
      <c r="N38" s="94"/>
    </row>
    <row r="39" spans="1:14">
      <c r="A39" s="94"/>
      <c r="B39" s="94"/>
      <c r="C39" s="94"/>
      <c r="D39" s="94"/>
      <c r="E39" s="94"/>
      <c r="F39" s="94"/>
      <c r="G39" s="94"/>
      <c r="H39" s="94"/>
      <c r="I39" s="94"/>
      <c r="J39" s="94"/>
      <c r="K39" s="94"/>
      <c r="L39" s="94"/>
      <c r="M39" s="94"/>
      <c r="N39" s="94"/>
    </row>
    <row r="40" spans="1:14">
      <c r="A40" s="94"/>
      <c r="B40" s="94"/>
      <c r="C40" s="94"/>
      <c r="D40" s="94"/>
      <c r="E40" s="94"/>
      <c r="F40" s="94"/>
      <c r="G40" s="94"/>
      <c r="H40" s="94"/>
      <c r="I40" s="94"/>
      <c r="J40" s="94"/>
      <c r="K40" s="94"/>
      <c r="L40" s="94"/>
      <c r="M40" s="94"/>
      <c r="N40" s="94"/>
    </row>
    <row r="41" spans="1:14" ht="0.75" customHeight="1">
      <c r="A41" s="94"/>
      <c r="B41" s="94"/>
      <c r="C41" s="94"/>
      <c r="D41" s="94"/>
      <c r="E41" s="94"/>
      <c r="F41" s="94"/>
      <c r="G41" s="94"/>
      <c r="H41" s="94"/>
      <c r="I41" s="94"/>
      <c r="J41" s="94"/>
      <c r="K41" s="94"/>
      <c r="L41" s="94"/>
      <c r="M41" s="94"/>
      <c r="N41" s="94"/>
    </row>
    <row r="42" spans="1:14" ht="0.75" customHeight="1">
      <c r="A42" s="94"/>
      <c r="B42" s="94"/>
      <c r="C42" s="94"/>
      <c r="D42" s="94"/>
      <c r="E42" s="94"/>
      <c r="F42" s="94"/>
      <c r="G42" s="94"/>
      <c r="H42" s="94"/>
      <c r="I42" s="94"/>
      <c r="J42" s="94"/>
      <c r="K42" s="94"/>
      <c r="L42" s="94"/>
      <c r="M42" s="94"/>
      <c r="N42" s="94"/>
    </row>
    <row r="43" spans="1:14">
      <c r="A43" s="94"/>
      <c r="B43" s="94"/>
      <c r="C43" s="94"/>
      <c r="D43" s="94"/>
      <c r="E43" s="94"/>
      <c r="F43" s="94"/>
      <c r="G43" s="94"/>
      <c r="H43" s="94"/>
      <c r="I43" s="94"/>
      <c r="J43" s="94"/>
      <c r="K43" s="94"/>
      <c r="L43" s="94"/>
      <c r="M43" s="94"/>
      <c r="N43" s="94"/>
    </row>
    <row r="44" spans="1:14" ht="21" customHeight="1">
      <c r="A44" s="94"/>
      <c r="B44" s="94"/>
      <c r="C44" s="94"/>
      <c r="D44" s="94"/>
      <c r="E44" s="94"/>
      <c r="F44" s="94"/>
      <c r="G44" s="94"/>
      <c r="H44" s="94"/>
      <c r="I44" s="94"/>
      <c r="J44" s="94"/>
      <c r="K44" s="94"/>
      <c r="L44" s="94"/>
      <c r="M44" s="94"/>
      <c r="N44" s="94"/>
    </row>
    <row r="45" spans="1:14" ht="9.75" customHeight="1">
      <c r="A45" s="94"/>
      <c r="B45" s="94"/>
      <c r="C45" s="94"/>
      <c r="D45" s="94"/>
      <c r="E45" s="94"/>
      <c r="F45" s="94"/>
      <c r="G45" s="94"/>
      <c r="H45" s="94"/>
      <c r="I45" s="94"/>
      <c r="J45" s="94"/>
      <c r="K45" s="94"/>
      <c r="L45" s="94"/>
      <c r="M45" s="94"/>
      <c r="N45" s="94"/>
    </row>
    <row r="46" spans="1:14" ht="15" customHeight="1">
      <c r="A46" s="119" t="s">
        <v>250</v>
      </c>
      <c r="B46" s="94"/>
      <c r="C46" s="94"/>
      <c r="D46" s="94"/>
      <c r="E46" s="94"/>
      <c r="F46" s="94"/>
      <c r="G46" s="94"/>
      <c r="H46" s="94"/>
      <c r="I46" s="94"/>
      <c r="J46" s="94"/>
      <c r="K46" s="94"/>
      <c r="L46" s="94"/>
      <c r="M46" s="94"/>
      <c r="N46" s="94"/>
    </row>
    <row r="47" spans="1:14">
      <c r="A47" s="94"/>
      <c r="B47" s="94"/>
      <c r="C47" s="94"/>
      <c r="D47" s="94"/>
      <c r="E47" s="94"/>
      <c r="F47" s="94"/>
      <c r="G47" s="94"/>
      <c r="H47" s="94"/>
      <c r="I47" s="94"/>
      <c r="J47" s="94"/>
      <c r="K47" s="94"/>
      <c r="L47" s="94"/>
      <c r="M47" s="94"/>
      <c r="N47" s="94"/>
    </row>
    <row r="48" spans="1:14">
      <c r="A48" s="94"/>
      <c r="B48" s="94"/>
      <c r="C48" s="94"/>
      <c r="D48" s="94"/>
      <c r="E48" s="94"/>
      <c r="F48" s="94"/>
      <c r="G48" s="94"/>
      <c r="H48" s="94"/>
      <c r="I48" s="94"/>
      <c r="J48" s="94"/>
      <c r="K48" s="94"/>
      <c r="L48" s="94"/>
      <c r="M48" s="94"/>
      <c r="N48" s="94"/>
    </row>
  </sheetData>
  <mergeCells count="12">
    <mergeCell ref="A12:A14"/>
    <mergeCell ref="Q13:R13"/>
    <mergeCell ref="I19:M22"/>
    <mergeCell ref="B3:N3"/>
    <mergeCell ref="B4:M4"/>
    <mergeCell ref="B5:M5"/>
    <mergeCell ref="B6:M6"/>
    <mergeCell ref="E12:F12"/>
    <mergeCell ref="G12:H12"/>
    <mergeCell ref="I12:N18"/>
    <mergeCell ref="E13:F13"/>
    <mergeCell ref="G13:H13"/>
  </mergeCells>
  <pageMargins left="0.27" right="0.16" top="0.56000000000000005" bottom="0.16" header="0.3" footer="0.16"/>
  <pageSetup scale="96"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3">
    <pageSetUpPr fitToPage="1"/>
  </sheetPr>
  <dimension ref="B3:H37"/>
  <sheetViews>
    <sheetView view="pageBreakPreview" zoomScale="89" zoomScaleNormal="100" zoomScaleSheetLayoutView="89" workbookViewId="0">
      <selection activeCell="C19" sqref="C19"/>
    </sheetView>
  </sheetViews>
  <sheetFormatPr defaultColWidth="9.33203125" defaultRowHeight="13.2"/>
  <cols>
    <col min="1" max="1" width="9.33203125" style="67"/>
    <col min="2" max="2" width="25.5546875" style="67" customWidth="1"/>
    <col min="3" max="3" width="29.6640625" style="67" customWidth="1"/>
    <col min="4" max="4" width="20.5546875" style="67" customWidth="1"/>
    <col min="5" max="5" width="15.6640625" style="67" customWidth="1"/>
    <col min="6" max="6" width="18.109375" style="67" customWidth="1"/>
    <col min="7" max="7" width="15.6640625" style="67" customWidth="1"/>
    <col min="8" max="8" width="12.5546875" style="67" customWidth="1"/>
    <col min="9" max="16384" width="9.33203125" style="67"/>
  </cols>
  <sheetData>
    <row r="3" spans="2:8" ht="21">
      <c r="E3" s="491" t="s">
        <v>408</v>
      </c>
      <c r="F3" s="491"/>
      <c r="G3" s="491"/>
      <c r="H3" s="491"/>
    </row>
    <row r="6" spans="2:8" ht="15.6">
      <c r="F6" s="284" t="s">
        <v>395</v>
      </c>
    </row>
    <row r="7" spans="2:8" ht="19.2">
      <c r="F7" s="285" t="s">
        <v>425</v>
      </c>
    </row>
    <row r="9" spans="2:8" ht="27" customHeight="1">
      <c r="C9" s="1001" t="s">
        <v>252</v>
      </c>
      <c r="D9" s="1001"/>
      <c r="E9" s="1001"/>
      <c r="F9" s="1001"/>
    </row>
    <row r="10" spans="2:8" ht="18" customHeight="1"/>
    <row r="11" spans="2:8" ht="20.100000000000001" customHeight="1"/>
    <row r="12" spans="2:8" ht="20.100000000000001" customHeight="1"/>
    <row r="13" spans="2:8" ht="34.200000000000003" customHeight="1">
      <c r="B13" s="1002" t="s">
        <v>426</v>
      </c>
      <c r="C13" s="1002"/>
      <c r="D13" s="1002"/>
      <c r="E13" s="1002"/>
      <c r="F13" s="1002"/>
      <c r="G13" s="1002"/>
    </row>
    <row r="14" spans="2:8" ht="15.9" customHeight="1">
      <c r="C14" s="124"/>
    </row>
    <row r="15" spans="2:8" ht="15.9" customHeight="1">
      <c r="B15" s="128" t="s">
        <v>187</v>
      </c>
      <c r="C15" s="126" t="str">
        <f>_xlfn.CONCAT('Form Configuration'!B1:D1,",",'Form Configuration'!B2:D2)</f>
        <v>PRAXIS  INTERNATIONAL BUSINESS PLC,NIFAS SILK LAFTO SUB CITY, WOREDA 
08, HOUSE NO 1986, ADDIS ABABA, ETHIOPIA.</v>
      </c>
    </row>
    <row r="16" spans="2:8" ht="34.200000000000003" customHeight="1">
      <c r="B16" s="128" t="s">
        <v>260</v>
      </c>
      <c r="C16" s="1000" t="str">
        <f>'Contract-SI-LC'!K30</f>
        <v>-</v>
      </c>
      <c r="D16" s="1000"/>
      <c r="E16" s="1000"/>
      <c r="F16" s="1000"/>
      <c r="G16" s="1000"/>
      <c r="H16" s="1000"/>
    </row>
    <row r="17" spans="2:8" ht="26.4" customHeight="1">
      <c r="B17" s="128" t="s">
        <v>185</v>
      </c>
      <c r="C17" s="1003" t="str">
        <f>'Contract-SI-LC'!K32</f>
        <v>-</v>
      </c>
      <c r="D17" s="1003"/>
      <c r="E17" s="1003"/>
      <c r="F17" s="1003"/>
      <c r="G17" s="1003"/>
      <c r="H17" s="1003"/>
    </row>
    <row r="18" spans="2:8" ht="69.599999999999994" customHeight="1">
      <c r="B18" s="128" t="s">
        <v>261</v>
      </c>
      <c r="C18" s="999">
        <f>'Contract-SI-LC'!K28</f>
        <v>0</v>
      </c>
      <c r="D18" s="999"/>
      <c r="E18" s="999"/>
      <c r="F18" s="999"/>
      <c r="G18" s="999"/>
      <c r="H18" s="999"/>
    </row>
    <row r="19" spans="2:8" ht="17.100000000000001" customHeight="1">
      <c r="B19" s="128" t="s">
        <v>264</v>
      </c>
      <c r="C19" s="129">
        <f>Contract!C5</f>
        <v>0</v>
      </c>
      <c r="D19" s="127" t="s">
        <v>270</v>
      </c>
      <c r="E19" s="67" t="s">
        <v>271</v>
      </c>
    </row>
    <row r="20" spans="2:8" ht="17.100000000000001" customHeight="1">
      <c r="B20" s="128" t="s">
        <v>265</v>
      </c>
      <c r="C20" s="130" t="str">
        <f>'Contract-SI-LC'!K17</f>
        <v xml:space="preserve">F.O.B </v>
      </c>
    </row>
    <row r="21" spans="2:8" ht="22.8" customHeight="1">
      <c r="B21" s="128"/>
      <c r="C21" s="130"/>
    </row>
    <row r="22" spans="2:8" ht="18" customHeight="1">
      <c r="C22" s="289" t="s">
        <v>262</v>
      </c>
      <c r="D22" s="286" t="str">
        <f>CONCATENATE(Contract!D30," MTS")</f>
        <v>19.2 MTS</v>
      </c>
      <c r="E22" s="289"/>
    </row>
    <row r="23" spans="2:8" ht="16.8" customHeight="1">
      <c r="C23" s="289" t="s">
        <v>263</v>
      </c>
      <c r="D23" s="287">
        <f>'Contract-SI-LC'!F35</f>
        <v>0</v>
      </c>
      <c r="E23" s="289"/>
    </row>
    <row r="24" spans="2:8" ht="19.2" customHeight="1">
      <c r="C24" s="289" t="s">
        <v>266</v>
      </c>
      <c r="D24" s="286" t="str">
        <f>CONCATENATE(Contract!H30," MTS")</f>
        <v>19.44 MTS</v>
      </c>
      <c r="E24" s="289"/>
    </row>
    <row r="25" spans="2:8" ht="16.8" customHeight="1">
      <c r="C25" s="289" t="s">
        <v>267</v>
      </c>
      <c r="D25" s="286" t="str">
        <f>CONCATENATE(Contract!D30," MTS")</f>
        <v>19.2 MTS</v>
      </c>
      <c r="E25" s="289"/>
    </row>
    <row r="26" spans="2:8" ht="16.2" customHeight="1">
      <c r="C26" s="289" t="s">
        <v>268</v>
      </c>
      <c r="D26" s="286">
        <f>'Contract-SI-LC'!K24</f>
        <v>0</v>
      </c>
      <c r="E26" s="289"/>
    </row>
    <row r="27" spans="2:8" ht="15.9" customHeight="1">
      <c r="C27" s="289" t="s">
        <v>272</v>
      </c>
      <c r="D27" s="286" t="str">
        <f>IF(Bookings!B43="","",Bookings!B43)</f>
        <v/>
      </c>
      <c r="E27" s="289"/>
    </row>
    <row r="28" spans="2:8" ht="15.9" customHeight="1">
      <c r="C28" s="289" t="s">
        <v>269</v>
      </c>
      <c r="D28" s="288" t="str">
        <f>CONCATENATE("(",Bookings!C6," ,",Bookings!C7,")")</f>
        <v>( ,)</v>
      </c>
      <c r="E28" s="289"/>
    </row>
    <row r="29" spans="2:8" ht="18" customHeight="1">
      <c r="C29" s="289" t="s">
        <v>273</v>
      </c>
      <c r="D29" s="289">
        <f>'Contract-SI-LC'!K20</f>
        <v>0</v>
      </c>
      <c r="E29" s="289"/>
    </row>
    <row r="30" spans="2:8" ht="15.9" customHeight="1">
      <c r="B30" s="127"/>
      <c r="D30" s="128"/>
    </row>
    <row r="31" spans="2:8" ht="15.9" customHeight="1">
      <c r="B31" s="124" t="s">
        <v>251</v>
      </c>
    </row>
    <row r="32" spans="2:8" ht="15.9" customHeight="1">
      <c r="B32" s="124" t="s">
        <v>427</v>
      </c>
    </row>
    <row r="33" spans="3:4" ht="14.1" customHeight="1">
      <c r="C33" s="123"/>
    </row>
    <row r="34" spans="3:4" ht="12.9" customHeight="1">
      <c r="C34" s="122"/>
    </row>
    <row r="35" spans="3:4" ht="12.9" customHeight="1">
      <c r="D35" s="290" t="str">
        <f>'Form Configuration'!B1</f>
        <v>PRAXIS  INTERNATIONAL BUSINESS PLC</v>
      </c>
    </row>
    <row r="36" spans="3:4" ht="15" customHeight="1">
      <c r="C36" s="121"/>
    </row>
    <row r="37" spans="3:4" ht="15" customHeight="1">
      <c r="C37" s="120"/>
    </row>
  </sheetData>
  <mergeCells count="6">
    <mergeCell ref="E3:H3"/>
    <mergeCell ref="C18:H18"/>
    <mergeCell ref="C16:H16"/>
    <mergeCell ref="C9:F9"/>
    <mergeCell ref="B13:G13"/>
    <mergeCell ref="C17:H17"/>
  </mergeCells>
  <hyperlinks>
    <hyperlink ref="E3" r:id="rId1" xr:uid="{127145D8-7966-4159-8DDA-C73A2F7EB5E4}"/>
  </hyperlinks>
  <pageMargins left="0.25" right="0.25" top="0.5" bottom="0.25" header="0.3" footer="0"/>
  <pageSetup paperSize="9" scale="67" fitToHeight="0" orientation="portrait" r:id="rId2"/>
  <headerFooter>
    <oddHeader>&amp;L&amp;G</oddHeader>
    <oddFooter>&amp;C&amp;G</oddFooter>
  </headerFooter>
  <legacyDrawingHF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14</vt:i4>
      </vt:variant>
    </vt:vector>
  </HeadingPairs>
  <TitlesOfParts>
    <vt:vector size="38" baseType="lpstr">
      <vt:lpstr>Form Configuration</vt:lpstr>
      <vt:lpstr>Contract</vt:lpstr>
      <vt:lpstr>Shipping Instruction</vt:lpstr>
      <vt:lpstr>Bank &amp; LC</vt:lpstr>
      <vt:lpstr>Contract-SI-LC</vt:lpstr>
      <vt:lpstr>Bookings</vt:lpstr>
      <vt:lpstr>Staffing</vt:lpstr>
      <vt:lpstr>Processing</vt:lpstr>
      <vt:lpstr>Coffee Test Letter</vt:lpstr>
      <vt:lpstr>Commercial Invoice(Permit)</vt:lpstr>
      <vt:lpstr>Commercial Invoice</vt:lpstr>
      <vt:lpstr>Commercial Invoice(ICC)</vt:lpstr>
      <vt:lpstr>Packing List(Permit)</vt:lpstr>
      <vt:lpstr>Packing List</vt:lpstr>
      <vt:lpstr>Packing List(ICC)</vt:lpstr>
      <vt:lpstr>SI</vt:lpstr>
      <vt:lpstr>Certificate of Quality</vt:lpstr>
      <vt:lpstr>Certificate of Weight</vt:lpstr>
      <vt:lpstr>WAY BILL</vt:lpstr>
      <vt:lpstr>COCG</vt:lpstr>
      <vt:lpstr>VGM</vt:lpstr>
      <vt:lpstr>ICO</vt:lpstr>
      <vt:lpstr>Cert Of Origin</vt:lpstr>
      <vt:lpstr>NON-GMO</vt:lpstr>
      <vt:lpstr>'Certificate of Quality'!Print_Area</vt:lpstr>
      <vt:lpstr>'Certificate of Weight'!Print_Area</vt:lpstr>
      <vt:lpstr>COCG!Print_Area</vt:lpstr>
      <vt:lpstr>'Coffee Test Letter'!Print_Area</vt:lpstr>
      <vt:lpstr>'Commercial Invoice'!Print_Area</vt:lpstr>
      <vt:lpstr>'Commercial Invoice(ICC)'!Print_Area</vt:lpstr>
      <vt:lpstr>'Commercial Invoice(Permit)'!Print_Area</vt:lpstr>
      <vt:lpstr>'NON-GMO'!Print_Area</vt:lpstr>
      <vt:lpstr>'Packing List(ICC)'!Print_Area</vt:lpstr>
      <vt:lpstr>'Packing List(Permit)'!Print_Area</vt:lpstr>
      <vt:lpstr>SI!Print_Area</vt:lpstr>
      <vt:lpstr>Staffing!Print_Area</vt:lpstr>
      <vt:lpstr>VGM!Print_Area</vt:lpstr>
      <vt:lpstr>'WAY BILL'!Print_Area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2025-08-06T13:12:54Z</dcterms:modified>
</cp:coreProperties>
</file>